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userName="Rom, Florian (PED-DERS)" reservationPassword="EF1E"/>
  <workbookPr defaultThemeVersion="164011"/>
  <mc:AlternateContent xmlns:mc="http://schemas.openxmlformats.org/markup-compatibility/2006">
    <mc:Choice Requires="x15">
      <x15ac:absPath xmlns:x15ac="http://schemas.microsoft.com/office/spreadsheetml/2010/11/ac" url="\\trtna001\daten\Projekte\2017_EOX6020-21\04_Development\03_Electronic\05_Display\02_SW\05_Smart_UI\020 - Specification\"/>
    </mc:Choice>
  </mc:AlternateContent>
  <bookViews>
    <workbookView xWindow="10230" yWindow="0" windowWidth="20490" windowHeight="7665"/>
  </bookViews>
  <sheets>
    <sheet name="Change Log" sheetId="29" r:id="rId1"/>
    <sheet name="VNS1" sheetId="12" r:id="rId2"/>
    <sheet name="OM Table" sheetId="16" r:id="rId3"/>
    <sheet name="OMTable definitions" sheetId="7" r:id="rId4"/>
    <sheet name="CVT" sheetId="18" r:id="rId5"/>
    <sheet name="CVT+MW" sheetId="26" r:id="rId6"/>
    <sheet name="AS" sheetId="22" r:id="rId7"/>
    <sheet name="AS+MW" sheetId="27" r:id="rId8"/>
    <sheet name="FS" sheetId="19" r:id="rId9"/>
    <sheet name="FS_FWS" sheetId="23" r:id="rId10"/>
    <sheet name="CVT_LE" sheetId="20" r:id="rId11"/>
    <sheet name="PS" sheetId="21" r:id="rId12"/>
    <sheet name="SettingsMenu" sheetId="5" r:id="rId13"/>
    <sheet name="DBus Nodes" sheetId="8" r:id="rId14"/>
    <sheet name="UITypes" sheetId="9" r:id="rId15"/>
    <sheet name="To be clarified" sheetId="25" r:id="rId16"/>
    <sheet name="DBus Messages" sheetId="28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16" hidden="1">'DBus Messages'!$A$1:$M$137</definedName>
    <definedName name="_xlnm._FilterDatabase" localSheetId="2" hidden="1">'OM Table'!$B$1:$H$33</definedName>
    <definedName name="_xlnm._FilterDatabase" localSheetId="1" hidden="1">'VNS1'!$A$6:$V$54</definedName>
    <definedName name="a">'[1]X-List Entries'!$A$10:$A$78</definedName>
    <definedName name="A_Bakingtray">'[2]X-List Entries'!$EL$10:$EL$66</definedName>
    <definedName name="A_Bakingtrayalu">[3]Entries!$FW$6:$FW$25</definedName>
    <definedName name="A_Bakingtrayenamel">'[2]X-List Entries'!$EM$10:$EM$66</definedName>
    <definedName name="A_Combigrid">'[2]X-List Entries'!$EO$10:$EO$66</definedName>
    <definedName name="A_Combigridcropped">[3]Entries!$GA$6:$GA$25</definedName>
    <definedName name="A_Combigridcroppedwithopening">'[2]X-List Entries'!$EQ$10:$EQ$66</definedName>
    <definedName name="A_Combigridcroppedwithoutopening">'[2]X-List Entries'!$EP$10:$EP$66</definedName>
    <definedName name="A_Gridlayin">'[2]X-List Entries'!$ER$10:$ER$66</definedName>
    <definedName name="A_Gridtray">[3]Entries!$GC$6:$GC$25</definedName>
    <definedName name="A_Grilltray">'[2]X-List Entries'!$ES$10:$ES$66</definedName>
    <definedName name="A_Other">'[2]X-List Entries'!$EU$10:$EU$66</definedName>
    <definedName name="A_Pizzatray">[3]Entries!$GD$6:$GD$25</definedName>
    <definedName name="A_Universalpan">'[2]X-List Entries'!$EN$10:$EN$66</definedName>
    <definedName name="aaaa" localSheetId="6">#REF!</definedName>
    <definedName name="aaaa" localSheetId="7">#REF!</definedName>
    <definedName name="aaaa" localSheetId="5">#REF!</definedName>
    <definedName name="aaaa" localSheetId="9">#REF!</definedName>
    <definedName name="aaaa" localSheetId="2">#REF!</definedName>
    <definedName name="aaaa" localSheetId="14">#REF!</definedName>
    <definedName name="aaaa">#REF!</definedName>
    <definedName name="Appliance_type" localSheetId="6">#REF!</definedName>
    <definedName name="Appliance_type" localSheetId="7">#REF!</definedName>
    <definedName name="Appliance_type" localSheetId="5">#REF!</definedName>
    <definedName name="Appliance_type" localSheetId="9">#REF!</definedName>
    <definedName name="Appliance_type" localSheetId="2">#REF!</definedName>
    <definedName name="Appliance_type" localSheetId="1">#REF!</definedName>
    <definedName name="Appliance_type">#REF!</definedName>
    <definedName name="B_Brand">'[2]X-List Entries'!$H$10:$H$66</definedName>
    <definedName name="B_Location">'[2]X-List Entries'!$I$10:$I$66</definedName>
    <definedName name="B_Productserieskey">'[2]X-List Entries'!$M$10:$M$66</definedName>
    <definedName name="B_Typeofproduct">'[2]X-List Entries'!$O$10:$O$66</definedName>
    <definedName name="BAK_AT">'[4]Übersicht P32'!$I$8</definedName>
    <definedName name="BAK_DE">'[4]Übersicht P32'!$I$44</definedName>
    <definedName name="BAK_E_AT">'[4]Übersicht P32'!$H$8</definedName>
    <definedName name="BAK_E_DE">'[4]Übersicht P32'!$H$44</definedName>
    <definedName name="BAK_E_ES">'[4]Übersicht P32'!$H$51</definedName>
    <definedName name="BAK_E_FR">'[4]Übersicht P32'!$H$45</definedName>
    <definedName name="BAK_E_GB">'[4]Übersicht P32'!$H$46</definedName>
    <definedName name="BAK_E_NL">'[4]Übersicht P32'!$H$28</definedName>
    <definedName name="BAK_E_PL">'[4]Übersicht P32'!$H$34</definedName>
    <definedName name="BAK_E_RU">'[4]Übersicht P32'!$H$36</definedName>
    <definedName name="BAK_E_TR">'[4]Übersicht P32'!$H$52</definedName>
    <definedName name="BAK_E_VNE">'[4]Übersicht P32'!$H$27</definedName>
    <definedName name="BAK_ES">'[4]Übersicht P32'!$I$51</definedName>
    <definedName name="BAK_FR">'[4]Übersicht P32'!$I$45</definedName>
    <definedName name="BAK_GB">'[4]Übersicht P32'!$I$46</definedName>
    <definedName name="BAK_NL">'[4]Übersicht P32'!$I$28</definedName>
    <definedName name="BAK_PL">'[4]Übersicht P32'!$I$34</definedName>
    <definedName name="BAK_RU">'[4]Übersicht P32'!$I$36</definedName>
    <definedName name="BAK_TR">'[4]Übersicht P32'!$I$52</definedName>
    <definedName name="BAK_VNE">'[4]Übersicht P32'!$I$27</definedName>
    <definedName name="Brand" localSheetId="6">#REF!</definedName>
    <definedName name="Brand" localSheetId="7">#REF!</definedName>
    <definedName name="Brand" localSheetId="5">#REF!</definedName>
    <definedName name="Brand" localSheetId="9">#REF!</definedName>
    <definedName name="Brand" localSheetId="2">#REF!</definedName>
    <definedName name="Brand" localSheetId="1">#REF!</definedName>
    <definedName name="Brand">#REF!</definedName>
    <definedName name="BT_UIs_t_Control">'[5]BT_UIs(M)'!$D:$D</definedName>
    <definedName name="BT_UIs_UI">'[5]BT_UIs(M)'!$C:$C</definedName>
    <definedName name="C_Combinationmark">'[2]X-List Entries'!$AU$10:$AU$66</definedName>
    <definedName name="C_Control">'[2]X-List Entries'!$AP$10:$AP$66</definedName>
    <definedName name="C_Coolingfan">'[2]X-List Entries'!$AQ$10:$AQ$66</definedName>
    <definedName name="C_Enlargement">'[2]X-List Entries'!$AT$10:$AT$66</definedName>
    <definedName name="C_LControl">[3]Entries!$AU$6:$AU$25</definedName>
    <definedName name="C_SControl">[3]Entries!$AX$6:$AX$25</definedName>
    <definedName name="C_Type">'[2]X-List Entries'!$AS$10:$AS$66</definedName>
    <definedName name="Cleaning" localSheetId="6">#REF!</definedName>
    <definedName name="Cleaning" localSheetId="7">#REF!</definedName>
    <definedName name="Cleaning" localSheetId="5">#REF!</definedName>
    <definedName name="Cleaning" localSheetId="9">#REF!</definedName>
    <definedName name="Cleaning" localSheetId="2">#REF!</definedName>
    <definedName name="Cleaning" localSheetId="1">#REF!</definedName>
    <definedName name="Cleaning">#REF!</definedName>
    <definedName name="Cleaning___heating_mode_relation_code" localSheetId="6">#REF!</definedName>
    <definedName name="Cleaning___heating_mode_relation_code" localSheetId="7">#REF!</definedName>
    <definedName name="Cleaning___heating_mode_relation_code" localSheetId="5">#REF!</definedName>
    <definedName name="Cleaning___heating_mode_relation_code" localSheetId="9">#REF!</definedName>
    <definedName name="Cleaning___heating_mode_relation_code" localSheetId="2">#REF!</definedName>
    <definedName name="Cleaning___heating_mode_relation_code" localSheetId="1">#REF!</definedName>
    <definedName name="Cleaning___heating_mode_relation_code">#REF!</definedName>
    <definedName name="Connectivity" localSheetId="6">#REF!</definedName>
    <definedName name="Connectivity" localSheetId="7">#REF!</definedName>
    <definedName name="Connectivity" localSheetId="5">#REF!</definedName>
    <definedName name="Connectivity" localSheetId="9">#REF!</definedName>
    <definedName name="Connectivity" localSheetId="2">#REF!</definedName>
    <definedName name="Connectivity" localSheetId="1">#REF!</definedName>
    <definedName name="Connectivity">#REF!</definedName>
    <definedName name="CrN_AT">'[4]Übersicht P32'!$D$8</definedName>
    <definedName name="CrN_DE">'[4]Übersicht P32'!$D$44</definedName>
    <definedName name="CrN_ES">'[4]Übersicht P32'!$D$51</definedName>
    <definedName name="CrN_FR">'[4]Übersicht P32'!$D$45</definedName>
    <definedName name="CrN_GB">'[4]Übersicht P32'!$D$46</definedName>
    <definedName name="CrN_NL">'[4]Übersicht P32'!$D$28</definedName>
    <definedName name="CrN_PL">'[4]Übersicht P32'!$D$34</definedName>
    <definedName name="CrN_RU">'[4]Übersicht P32'!$D$36</definedName>
    <definedName name="CrN_TR">'[4]Übersicht P32'!$D$52</definedName>
    <definedName name="CrN_VNE">'[4]Übersicht P32'!$D$27</definedName>
    <definedName name="D_Additionalinstructions">[3]Entries!$GI$6:$GI$25</definedName>
    <definedName name="D_Class">'[2]X-List Entries'!$W$10:$W$66</definedName>
    <definedName name="D_Color">'[2]X-List Entries'!$U$10:$U$68</definedName>
    <definedName name="D_Colordoorhandle">'[2]X-List Entries'!$AE$10:$AE$66</definedName>
    <definedName name="D_Colorofdisplay">'[2]X-List Entries'!$X$10:$X$67</definedName>
    <definedName name="D_Colour">[3]Entries!$V$6:$V$25</definedName>
    <definedName name="D_Colourdoorhandle">[3]Entries!$AI$6:$AI$25</definedName>
    <definedName name="D_Controlelements">'[2]X-List Entries'!$AI$10:$AI$66</definedName>
    <definedName name="D_Countyoforigin">'[2]X-List Entries'!$FB$10:$FB$66</definedName>
    <definedName name="D_Design">'[2]X-List Entries'!$V$10:$V$70</definedName>
    <definedName name="D_Diameterlength">'[2]X-List Entries'!$AL$10:$AL$66</definedName>
    <definedName name="D_Dimensions">'[2]X-List Entries'!$S$11:$S$67</definedName>
    <definedName name="D_DL">[3]Entries!$AP$6:$AP$25</definedName>
    <definedName name="D_Doordecoration">'[2]X-List Entries'!$Z$10:$Z$67</definedName>
    <definedName name="D_Guarantee">'[2]X-List Entries'!$FA$10:$FA$66</definedName>
    <definedName name="D_Handlespec">'[2]X-List Entries'!$AC$10:$AC$66</definedName>
    <definedName name="D_Handletype">'[2]X-List Entries'!$AD$10:$AD$66</definedName>
    <definedName name="D_Illuminatedknobs">'[2]X-List Entries'!$AN$10:$AN$66</definedName>
    <definedName name="D_Illuminationknobs">[3]Entries!$AR$6:$AR$25</definedName>
    <definedName name="D_Knebelmantelspez">'[2]X-List Entries'!$AK$10:$AK$66</definedName>
    <definedName name="D_Knobcolor">'[2]X-List Entries'!$AJ$10:$AJ$66</definedName>
    <definedName name="D_Knobcolour">[3]Entries!$AN$6:$AN$25</definedName>
    <definedName name="D_Knobspec">'[2]X-List Entries'!$AG$10:$AG$66</definedName>
    <definedName name="D_Knobtype">'[2]X-List Entries'!$AM$10:$AM$66</definedName>
    <definedName name="D_LColourofdisplay">[3]Entries!$Z$6:$Z$25</definedName>
    <definedName name="D_Printingwhite">'[2]X-List Entries'!$AA$10:$AA$66</definedName>
    <definedName name="D_Recipes">[3]Entries!$GJ$6:$GJ$25</definedName>
    <definedName name="D_Shapeofknob">'[2]X-List Entries'!$AH$10:$AH$66</definedName>
    <definedName name="D_Usermanualstartproduction">[3]Entries!$GH$6:$GH$25</definedName>
    <definedName name="D_Webadress">'[2]X-List Entries'!$FC$10:$FC$66</definedName>
    <definedName name="D_WHD">[3]Entries!$T$6:$T$25</definedName>
    <definedName name="DATA1" localSheetId="6">#REF!</definedName>
    <definedName name="DATA1" localSheetId="7">#REF!</definedName>
    <definedName name="DATA1" localSheetId="5">#REF!</definedName>
    <definedName name="DATA1" localSheetId="9">#REF!</definedName>
    <definedName name="DATA1" localSheetId="2">#REF!</definedName>
    <definedName name="DATA1" localSheetId="14">#REF!</definedName>
    <definedName name="DATA1">#REF!</definedName>
    <definedName name="DATA2" localSheetId="6">#REF!</definedName>
    <definedName name="DATA2" localSheetId="7">#REF!</definedName>
    <definedName name="DATA2" localSheetId="5">#REF!</definedName>
    <definedName name="DATA2" localSheetId="9">#REF!</definedName>
    <definedName name="DATA2" localSheetId="2">#REF!</definedName>
    <definedName name="DATA2" localSheetId="14">#REF!</definedName>
    <definedName name="DATA2">#REF!</definedName>
    <definedName name="DATA3" localSheetId="6">#REF!</definedName>
    <definedName name="DATA3" localSheetId="7">#REF!</definedName>
    <definedName name="DATA3" localSheetId="5">#REF!</definedName>
    <definedName name="DATA3" localSheetId="9">#REF!</definedName>
    <definedName name="DATA3" localSheetId="2">#REF!</definedName>
    <definedName name="DATA3" localSheetId="14">#REF!</definedName>
    <definedName name="DATA3">#REF!</definedName>
    <definedName name="DATA4" localSheetId="6">#REF!</definedName>
    <definedName name="DATA4" localSheetId="7">#REF!</definedName>
    <definedName name="DATA4" localSheetId="5">#REF!</definedName>
    <definedName name="DATA4" localSheetId="9">#REF!</definedName>
    <definedName name="DATA4" localSheetId="2">#REF!</definedName>
    <definedName name="DATA4" localSheetId="14">#REF!</definedName>
    <definedName name="DATA4">#REF!</definedName>
    <definedName name="DATA5" localSheetId="6">#REF!</definedName>
    <definedName name="DATA5" localSheetId="7">#REF!</definedName>
    <definedName name="DATA5" localSheetId="5">#REF!</definedName>
    <definedName name="DATA5" localSheetId="9">#REF!</definedName>
    <definedName name="DATA5" localSheetId="2">#REF!</definedName>
    <definedName name="DATA5" localSheetId="14">#REF!</definedName>
    <definedName name="DATA5">#REF!</definedName>
    <definedName name="DATA6" localSheetId="6">#REF!</definedName>
    <definedName name="DATA6" localSheetId="7">#REF!</definedName>
    <definedName name="DATA6" localSheetId="5">#REF!</definedName>
    <definedName name="DATA6" localSheetId="9">#REF!</definedName>
    <definedName name="DATA6" localSheetId="2">#REF!</definedName>
    <definedName name="DATA6" localSheetId="14">#REF!</definedName>
    <definedName name="DATA6">#REF!</definedName>
    <definedName name="Datenbereich" localSheetId="6">#REF!</definedName>
    <definedName name="Datenbereich" localSheetId="7">#REF!</definedName>
    <definedName name="Datenbereich" localSheetId="5">#REF!</definedName>
    <definedName name="Datenbereich" localSheetId="9">#REF!</definedName>
    <definedName name="Datenbereich" localSheetId="2">#REF!</definedName>
    <definedName name="Datenbereich" localSheetId="14">#REF!</definedName>
    <definedName name="Datenbereich">#REF!</definedName>
    <definedName name="Design_line" localSheetId="1">'VNS1'!#REF!</definedName>
    <definedName name="Door_fixation" localSheetId="1">'VNS1'!#REF!</definedName>
    <definedName name="Electronic_control_UI" localSheetId="6">#REF!</definedName>
    <definedName name="Electronic_control_UI" localSheetId="7">#REF!</definedName>
    <definedName name="Electronic_control_UI" localSheetId="5">#REF!</definedName>
    <definedName name="Electronic_control_UI" localSheetId="9">#REF!</definedName>
    <definedName name="Electronic_control_UI" localSheetId="2">#REF!</definedName>
    <definedName name="Electronic_control_UI" localSheetId="1">#REF!</definedName>
    <definedName name="Electronic_control_UI">#REF!</definedName>
    <definedName name="ELS_AT">'[4]Übersicht P32'!$E$8</definedName>
    <definedName name="ELS_DE">'[4]Übersicht P32'!$E$44</definedName>
    <definedName name="ELS_ES">'[4]Übersicht P32'!$E$51</definedName>
    <definedName name="ELS_FR">'[4]Übersicht P32'!$E$45</definedName>
    <definedName name="ELS_GB">'[4]Übersicht P32'!$E$46</definedName>
    <definedName name="ELS_NL">'[4]Übersicht P32'!$E$28</definedName>
    <definedName name="ELS_PL">'[4]Übersicht P32'!$E$34</definedName>
    <definedName name="ELS_RU">'[4]Übersicht P32'!$E$36</definedName>
    <definedName name="ELS_TR">'[4]Übersicht P32'!$E$52</definedName>
    <definedName name="ELS_VNE">'[4]Übersicht P32'!$E$27</definedName>
    <definedName name="erl_K" localSheetId="6">'[6]VA-Übersicht_ERLEDIGT'!#REF!</definedName>
    <definedName name="erl_K" localSheetId="7">'[6]VA-Übersicht_ERLEDIGT'!#REF!</definedName>
    <definedName name="erl_K" localSheetId="5">'[6]VA-Übersicht_ERLEDIGT'!#REF!</definedName>
    <definedName name="erl_K" localSheetId="9">'[6]VA-Übersicht_ERLEDIGT'!#REF!</definedName>
    <definedName name="erl_K" localSheetId="2">'[6]VA-Übersicht_ERLEDIGT'!#REF!</definedName>
    <definedName name="erl_K" localSheetId="14">'[6]VA-Übersicht_ERLEDIGT'!#REF!</definedName>
    <definedName name="erl_K">'[6]VA-Übersicht_ERLEDIGT'!#REF!</definedName>
    <definedName name="F_Additionalfunctions">'[2]X-List Entries'!$AY$10:$AY$66</definedName>
    <definedName name="F_Automaticcleaningmodeforecoclean">'[2]X-List Entries'!$CB$10:$CB$66</definedName>
    <definedName name="F_Automaticswitchoff">[3]Entries!$DQ$6:$DQ$25</definedName>
    <definedName name="F_Bottomheat">'[2]X-List Entries'!$BJ$10:$BJ$66</definedName>
    <definedName name="F_Breadbakingsetting">'[2]X-List Entries'!$BU$10:$BU$66</definedName>
    <definedName name="F_Childlockforoven">'[2]X-List Entries'!$CO$10:$CO$66</definedName>
    <definedName name="F_Circulatedair">'[2]X-List Entries'!$BC$10:$BC$66</definedName>
    <definedName name="F_Defrosting">'[2]X-List Entries'!$BO$10:$BO$66</definedName>
    <definedName name="F_Doorlock">'[2]X-List Entries'!$CP$10:$CP$66</definedName>
    <definedName name="F_Doughproving">'[2]X-List Entries'!$BV$10:$BV$66</definedName>
    <definedName name="F_Easyclean">'[2]X-List Entries'!$CD$10:$CD$66</definedName>
    <definedName name="F_Ecolyseequipment">'[2]X-List Entries'!$CA$10:$CA$66</definedName>
    <definedName name="F_ESM">'[2]X-List Entries'!$BE$10:$BE$66</definedName>
    <definedName name="F_Flapgrill">'[2]X-List Entries'!$CG$10:$CG$66</definedName>
    <definedName name="F_Heatingsystem">'[2]X-List Entries'!$BB$10:$BB$66</definedName>
    <definedName name="F_Hookinrack">'[2]X-List Entries'!$CH$10:$CH$66</definedName>
    <definedName name="F_Hotair">'[2]X-List Entries'!$BD$10:$BD$66</definedName>
    <definedName name="F_Hotairgrilling">'[2]X-List Entries'!$BK$10:$BK$66</definedName>
    <definedName name="F_Intensivheat">'[2]X-List Entries'!$BI$10:$BI$66</definedName>
    <definedName name="F_Katalyseequipment">'[2]X-List Entries'!$CC$10:$CC$66</definedName>
    <definedName name="F_Keepwarmsetting">'[2]X-List Entries'!$BQ$10:$BQ$66</definedName>
    <definedName name="F_LAutomaticcleaningmode">[3]Entries!$CS$6:$CS$25</definedName>
    <definedName name="F_LBottomheat">[3]Entries!$BP$6:$BP$25</definedName>
    <definedName name="F_LBreadbakingsetting">[3]Entries!$BW$6:$BW$25</definedName>
    <definedName name="F_LDefrosting">[3]Entries!$BR$6:$BR$25</definedName>
    <definedName name="F_LDoughproving">[3]Entries!$BX$6:$BX$25</definedName>
    <definedName name="F_LEasyclean">[3]Entries!$CU$6:$CU$25</definedName>
    <definedName name="F_LEcolyse">[3]Entries!$CR$6:$CR$25</definedName>
    <definedName name="F_LESM">[3]Entries!$CA$6:$CA$25</definedName>
    <definedName name="F_LFlapgrill">[3]Entries!$DB$6:$DB$25</definedName>
    <definedName name="F_LHeatingsystem">[3]Entries!$BH$6:$BH$25</definedName>
    <definedName name="F_LHookinrack">[3]Entries!$DC$6:$DC$25</definedName>
    <definedName name="F_LHotair">[3]Entries!$BJ$6:$BJ$25</definedName>
    <definedName name="F_LHotairgrilling">[3]Entries!$BM$6:$BM$25</definedName>
    <definedName name="F_Lightsteammode">'[2]X-List Entries'!$BG$10:$BG$66</definedName>
    <definedName name="F_LIntensivheat">[3]Entries!$BU$6:$BU$25</definedName>
    <definedName name="F_LKatalysequipment">[3]Entries!$CT$6:$CT$25</definedName>
    <definedName name="F_LKeepwarmsetting">[3]Entries!$BZ$6:$BZ$25</definedName>
    <definedName name="F_LLightsteammode">[3]Entries!$BV$6:$BV$25</definedName>
    <definedName name="F_LLowtemperature">[3]Entries!$BQ$6:$BQ$25</definedName>
    <definedName name="F_LNumberofautomaticovenfunctions">[3]Entries!$BA$6:$BA$25</definedName>
    <definedName name="F_Lowtemperaturecooking">'[2]X-List Entries'!$BN$10:$BN$66</definedName>
    <definedName name="F_LPizzamode">[3]Entries!$BL$6:$BL$25</definedName>
    <definedName name="F_LPlatewarming">[3]Entries!$BS$6:$BS$25</definedName>
    <definedName name="F_LPulloutsystem">[3]Entries!$DD$6:$DD$25</definedName>
    <definedName name="F_LPyrolysis">[3]Entries!$CQ$6:$CQ$25</definedName>
    <definedName name="F_LRadiantgrillinglarge">[3]Entries!$BN$6:$BN$25</definedName>
    <definedName name="F_LRadiantgrillingsmall">[3]Entries!$BO$6:$BO$25</definedName>
    <definedName name="F_LRapidheatingup">[3]Entries!$BC$6:$BC$25</definedName>
    <definedName name="F_LSimultaneousbaking">[3]Entries!$CB$6:$CB$25</definedName>
    <definedName name="F_LSinglehookinrack">[3]Entries!$DE$6:$DE$25</definedName>
    <definedName name="F_LSingletelescopicrails">[3]Entries!$DF$6:$DF$25</definedName>
    <definedName name="F_LSteamsetting150">[3]Entries!$BY$6:$BY$25</definedName>
    <definedName name="F_LSupplierpulloutsystem">[3]Entries!$DG$6:$DG$25</definedName>
    <definedName name="F_LTopandbottomheat">[3]Entries!$BK$6:$BK$25</definedName>
    <definedName name="F_LTopheat">[3]Entries!$BT$6:$BT$25</definedName>
    <definedName name="F_Mainswitch">'[2]X-List Entries'!$CN$10:$CN$66</definedName>
    <definedName name="F_Meatprobe">'[2]X-List Entries'!$AX$10:$AX$66</definedName>
    <definedName name="F_Numberofautomaticovenfunctions">'[2]X-List Entries'!$AW$10:$AW$66</definedName>
    <definedName name="F_Ovensafetyswitchof">'[2]X-List Entries'!$CQ$10:$CQ$66</definedName>
    <definedName name="F_Pizzamode">'[2]X-List Entries'!$BH$10:$BH$66</definedName>
    <definedName name="F_Platewarming">'[2]X-List Entries'!$BP$10:$BP$66</definedName>
    <definedName name="F_Pulloutsystem">'[2]X-List Entries'!$CI$10:$CI$66</definedName>
    <definedName name="F_Pyrolyse">'[2]X-List Entries'!$BZ$10:$BZ$66</definedName>
    <definedName name="F_Radiantgrilling">'[2]X-List Entries'!$BL$10:$BL$66</definedName>
    <definedName name="F_Radiantgrillingsmall">'[2]X-List Entries'!$BM$10:$BM$66</definedName>
    <definedName name="F_Rapidheatingup">'[2]X-List Entries'!$AZ$10:$AZ$66</definedName>
    <definedName name="F_Regeneration">'[2]X-List Entries'!$BS$10:$BS$66</definedName>
    <definedName name="F_Rotaryspitgrilling">'[2]X-List Entries'!$BR$10:$BR$66</definedName>
    <definedName name="F_Safetyswitchforpyorlyticmodels">'[2]X-List Entries'!$CR$10:$CR$66</definedName>
    <definedName name="F_SAutomaticcleaningmode">[3]Entries!$CX$6:$CX$25</definedName>
    <definedName name="F_SAutomaticovenfunctions">[3]Entries!$BC$6:$BC$25</definedName>
    <definedName name="F_SBottomheat">[3]Entries!$CJ$6:$CJ$25</definedName>
    <definedName name="F_SBreadbakingsetting">[3]Entries!$CL$6:$CL$25</definedName>
    <definedName name="F_SCircoroasting">[3]Entries!$CG$6:$CG$25</definedName>
    <definedName name="F_SDefrosting">[3]Entries!$CK$6:$CK$25</definedName>
    <definedName name="F_SEcolyse">[3]Entries!$CW$6:$CW$25</definedName>
    <definedName name="F_SHookinrack">[3]Entries!$DI$6:$DI$25</definedName>
    <definedName name="F_SHotair">[3]Entries!$CD$6:$CD$25</definedName>
    <definedName name="F_Simultaneousbakingonlevels">'[2]X-List Entries'!$BX$10:$BX$66</definedName>
    <definedName name="F_Singlehookinrack">'[2]X-List Entries'!$CJ$10:$CJ$66</definedName>
    <definedName name="F_Singletelescopicrails">'[2]X-List Entries'!$CK$10:$CK$66</definedName>
    <definedName name="F_SKatalysequipment">[3]Entries!$CY$6:$CY$25</definedName>
    <definedName name="F_SKeepwarmsetting">[3]Entries!$CM$6:$CM$25</definedName>
    <definedName name="F_SPizzamode">[3]Entries!$CF$6:$CF$25</definedName>
    <definedName name="F_SPulloutsystem">[3]Entries!$DJ$6:$DJ$25</definedName>
    <definedName name="F_SRadiantgrillinglarge">[3]Entries!$CH$6:$CH$25</definedName>
    <definedName name="F_SRadiantgrillingsmall">[3]Entries!$CI$6:$CI$25</definedName>
    <definedName name="F_SSimultaneousbaking">[3]Entries!$CN$6:$CN$25</definedName>
    <definedName name="F_SSinglehookinrack">[3]Entries!$DK$6:$DK$25</definedName>
    <definedName name="F_SSingletelescopicrails">[3]Entries!$DL$6:$DL$25</definedName>
    <definedName name="F_Steamsetting">'[2]X-List Entries'!$BW$10:$BW$66</definedName>
    <definedName name="F_STopandbottomheat">[3]Entries!$CE$6:$CE$25</definedName>
    <definedName name="F_Supplierpulloutsystem">'[2]X-List Entries'!$CL$10:$CL$66</definedName>
    <definedName name="F_Topandbottomheat">'[2]X-List Entries'!$BF$10:$BF$66</definedName>
    <definedName name="F_Topheat">'[2]X-List Entries'!$BT$10:$BT$66</definedName>
    <definedName name="F_Vapourcleansystem">'[2]X-List Entries'!$CE$10:$CE$66</definedName>
    <definedName name="Heating_concept" localSheetId="6">#REF!</definedName>
    <definedName name="Heating_concept" localSheetId="7">#REF!</definedName>
    <definedName name="Heating_concept" localSheetId="5">#REF!</definedName>
    <definedName name="Heating_concept" localSheetId="9">#REF!</definedName>
    <definedName name="Heating_concept" localSheetId="2">#REF!</definedName>
    <definedName name="Heating_concept" localSheetId="1">#REF!</definedName>
    <definedName name="Heating_concept">#REF!</definedName>
    <definedName name="Heating_modes_relation_code" localSheetId="6">#REF!</definedName>
    <definedName name="Heating_modes_relation_code" localSheetId="7">#REF!</definedName>
    <definedName name="Heating_modes_relation_code" localSheetId="5">#REF!</definedName>
    <definedName name="Heating_modes_relation_code" localSheetId="9">#REF!</definedName>
    <definedName name="Heating_modes_relation_code" localSheetId="2">#REF!</definedName>
    <definedName name="Heating_modes_relation_code" localSheetId="1">#REF!</definedName>
    <definedName name="Heating_modes_relation_code">#REF!</definedName>
    <definedName name="Heating_system" localSheetId="6">#REF!</definedName>
    <definedName name="Heating_system" localSheetId="7">#REF!</definedName>
    <definedName name="Heating_system" localSheetId="5">#REF!</definedName>
    <definedName name="Heating_system" localSheetId="9">#REF!</definedName>
    <definedName name="Heating_system" localSheetId="2">#REF!</definedName>
    <definedName name="Heating_system" localSheetId="1">#REF!</definedName>
    <definedName name="Heating_system">#REF!</definedName>
    <definedName name="Hydrolyse" localSheetId="6">#REF!</definedName>
    <definedName name="Hydrolyse" localSheetId="7">#REF!</definedName>
    <definedName name="Hydrolyse" localSheetId="5">#REF!</definedName>
    <definedName name="Hydrolyse" localSheetId="9">#REF!</definedName>
    <definedName name="Hydrolyse" localSheetId="2">#REF!</definedName>
    <definedName name="Hydrolyse" localSheetId="1">#REF!</definedName>
    <definedName name="Hydrolyse">#REF!</definedName>
    <definedName name="LAK_AT">'[4]Übersicht P32'!$F$8</definedName>
    <definedName name="LAK_DE">'[4]Übersicht P32'!$F$44</definedName>
    <definedName name="LAK_ES">'[4]Übersicht P32'!$F$51</definedName>
    <definedName name="LAK_FR">'[4]Übersicht P32'!$F$45</definedName>
    <definedName name="LAK_GB">'[4]Übersicht P32'!$F$46</definedName>
    <definedName name="LAK_NL">'[4]Übersicht P32'!$F$28</definedName>
    <definedName name="LAK_PL">'[4]Übersicht P32'!$F$34</definedName>
    <definedName name="LAK_RU">'[4]Übersicht P32'!$F$36</definedName>
    <definedName name="LAK_TR">'[4]Übersicht P32'!$F$52</definedName>
    <definedName name="LAK_VNE">'[4]Übersicht P32'!$F$27</definedName>
    <definedName name="N_Fbez">[3]Entries!$F$6:$F$25</definedName>
    <definedName name="N_ProddenomIC5">'[2]X-List Entries'!$E$10:$E$66</definedName>
    <definedName name="N_Programmestructure">'[2]X-List Entries'!$A$10:$A$78</definedName>
    <definedName name="N_Status">'[2]X-List Entries'!$C$10:$C$66</definedName>
    <definedName name="NM_Tab_General_Info" localSheetId="6">[5]PPS1_2020Q1_EOX6021_NHT_COX51_E!#REF!</definedName>
    <definedName name="NM_Tab_General_Info" localSheetId="7">[5]PPS1_2020Q1_EOX6021_NHT_COX51_E!#REF!</definedName>
    <definedName name="NM_Tab_General_Info" localSheetId="5">[5]PPS1_2020Q1_EOX6021_NHT_COX51_E!#REF!</definedName>
    <definedName name="NM_Tab_General_Info" localSheetId="9">[5]PPS1_2020Q1_EOX6021_NHT_COX51_E!#REF!</definedName>
    <definedName name="NM_Tab_General_Info" localSheetId="2">[5]PPS1_2020Q1_EOX6021_NHT_COX51_E!#REF!</definedName>
    <definedName name="NM_Tab_General_Info" localSheetId="1">[5]PPS1_2020Q1_EOX6021_NHT_COX51_E!#REF!</definedName>
    <definedName name="NM_Tab_General_Info">[5]PPS1_2020Q1_EOX6021_NHT_COX51_E!#REF!</definedName>
    <definedName name="Nominal_voltage" localSheetId="6">#REF!</definedName>
    <definedName name="Nominal_voltage" localSheetId="7">#REF!</definedName>
    <definedName name="Nominal_voltage" localSheetId="5">#REF!</definedName>
    <definedName name="Nominal_voltage" localSheetId="9">#REF!</definedName>
    <definedName name="Nominal_voltage" localSheetId="2">#REF!</definedName>
    <definedName name="Nominal_voltage" localSheetId="1">#REF!</definedName>
    <definedName name="Nominal_voltage">#REF!</definedName>
    <definedName name="Number_of_automatic_programmes" localSheetId="6">#REF!</definedName>
    <definedName name="Number_of_automatic_programmes" localSheetId="7">#REF!</definedName>
    <definedName name="Number_of_automatic_programmes" localSheetId="5">#REF!</definedName>
    <definedName name="Number_of_automatic_programmes" localSheetId="9">#REF!</definedName>
    <definedName name="Number_of_automatic_programmes" localSheetId="2">#REF!</definedName>
    <definedName name="Number_of_automatic_programmes" localSheetId="1">#REF!</definedName>
    <definedName name="Number_of_automatic_programmes">#REF!</definedName>
    <definedName name="Number_of_cooking_modes" localSheetId="6">#REF!</definedName>
    <definedName name="Number_of_cooking_modes" localSheetId="7">#REF!</definedName>
    <definedName name="Number_of_cooking_modes" localSheetId="5">#REF!</definedName>
    <definedName name="Number_of_cooking_modes" localSheetId="9">#REF!</definedName>
    <definedName name="Number_of_cooking_modes" localSheetId="2">#REF!</definedName>
    <definedName name="Number_of_cooking_modes" localSheetId="1">#REF!</definedName>
    <definedName name="Number_of_cooking_modes">#REF!</definedName>
    <definedName name="OvenType">'DBus Nodes'!$A$2:$A$2</definedName>
    <definedName name="P">[7]Vergleich_Mech_Elektr.!$F$8</definedName>
    <definedName name="Product_Series_Key" localSheetId="6">#REF!</definedName>
    <definedName name="Product_Series_Key" localSheetId="7">#REF!</definedName>
    <definedName name="Product_Series_Key" localSheetId="5">#REF!</definedName>
    <definedName name="Product_Series_Key" localSheetId="9">#REF!</definedName>
    <definedName name="Product_Series_Key" localSheetId="2">#REF!</definedName>
    <definedName name="Product_Series_Key" localSheetId="1">#REF!</definedName>
    <definedName name="Product_Series_Key">#REF!</definedName>
    <definedName name="Project_Key" localSheetId="6">#REF!</definedName>
    <definedName name="Project_Key" localSheetId="7">#REF!</definedName>
    <definedName name="Project_Key" localSheetId="5">#REF!</definedName>
    <definedName name="Project_Key" localSheetId="9">#REF!</definedName>
    <definedName name="Project_Key" localSheetId="2">#REF!</definedName>
    <definedName name="Project_Key" localSheetId="1">#REF!</definedName>
    <definedName name="Project_Key">#REF!</definedName>
    <definedName name="reduced_power" localSheetId="6">#REF!</definedName>
    <definedName name="reduced_power" localSheetId="7">#REF!</definedName>
    <definedName name="reduced_power" localSheetId="5">#REF!</definedName>
    <definedName name="reduced_power" localSheetId="9">#REF!</definedName>
    <definedName name="reduced_power" localSheetId="2">#REF!</definedName>
    <definedName name="reduced_power" localSheetId="1">#REF!</definedName>
    <definedName name="reduced_power">#REF!</definedName>
    <definedName name="SAPBEXdnldView" hidden="1">"4H9WYBIKC350I083UPVYPSVN8"</definedName>
    <definedName name="SAPBEXsysID" hidden="1">"E0P"</definedName>
    <definedName name="t" localSheetId="6">#REF!</definedName>
    <definedName name="t" localSheetId="7">#REF!</definedName>
    <definedName name="t" localSheetId="5">#REF!</definedName>
    <definedName name="t" localSheetId="9">#REF!</definedName>
    <definedName name="t">#REF!</definedName>
    <definedName name="T_Approvalbasictype">'[2]X-List Entries'!$EF$10:$EF$86</definedName>
    <definedName name="T_Cavity">'[2]X-List Entries'!$CU$10:$CU$66</definedName>
    <definedName name="T_Cavityvolumeinlitrenew">'[2]X-List Entries'!$CV$10:$CV$66</definedName>
    <definedName name="T_Colorofenamel">'[2]X-List Entries'!$CW$10:$CW$66</definedName>
    <definedName name="T_Connectiontype">'[2]X-List Entries'!$EC$10:$EC$66</definedName>
    <definedName name="t_Control" localSheetId="6">#REF!</definedName>
    <definedName name="t_Control" localSheetId="7">#REF!</definedName>
    <definedName name="t_Control" localSheetId="5">#REF!</definedName>
    <definedName name="t_Control" localSheetId="9">#REF!</definedName>
    <definedName name="t_Control" localSheetId="2">#REF!</definedName>
    <definedName name="t_Control" localSheetId="1">#REF!</definedName>
    <definedName name="t_Control">#REF!</definedName>
    <definedName name="T_Dampeddoor">'[2]X-List Entries'!$DG$10:$DG$66</definedName>
    <definedName name="T_Door">[3]Entries!$ER$6:$ER$25</definedName>
    <definedName name="T_Doorswitch">'[2]X-List Entries'!$DL$10:$DL$66</definedName>
    <definedName name="T_Doortemperature">'[2]X-List Entries'!$DJ$10:$DJ$66</definedName>
    <definedName name="T_DoortemperatureN13">'[2]X-List Entries'!$DO$10:$DO$66</definedName>
    <definedName name="T_Energylabel">'[2]X-List Entries'!$DY$10:$DY$66</definedName>
    <definedName name="T_Energylabellarge">[3]Entries!$FI$6:$FI$25</definedName>
    <definedName name="T_Energylabelsmall">[3]Entries!$FJ$6:$FJ$25</definedName>
    <definedName name="T_Frequency">'[2]X-List Entries'!$EE$10:$EE$66</definedName>
    <definedName name="T_Illuminatedsinglecookingzoneindicator">'[2]X-List Entries'!$DV$10:$DV$66</definedName>
    <definedName name="T_Indicationhobfunctions">'[2]X-List Entries'!$DR$10:$DR$66</definedName>
    <definedName name="T_Indicationovenfunctions">'[2]X-List Entries'!$DS$10:$DS$66</definedName>
    <definedName name="T_Indicationoventemperature">'[2]X-List Entries'!$DT$10:$DT$66</definedName>
    <definedName name="T_Indicatorlight">'[2]X-List Entries'!$DU$10:$DU$66</definedName>
    <definedName name="T_Innerdoortype">'[2]X-List Entries'!$DH$10:$DH$66</definedName>
    <definedName name="T_InnerdoortypeN13">'[2]X-List Entries'!$DM$10:$DM$66</definedName>
    <definedName name="T_LCavity">[3]Entries!$DV$6:$DV$25</definedName>
    <definedName name="T_LCavityvolumeinlitrenew">[3]Entries!$DW$6:$DW$25</definedName>
    <definedName name="T_LColourofenamel">[3]Entries!$DX$6:$DX$25</definedName>
    <definedName name="T_LLocation">[3]Entries!$DU$6:$DU$25</definedName>
    <definedName name="T_LLocationillumination">[3]Entries!$EJ$6:$EJ$25</definedName>
    <definedName name="T_LNoofapplicationlevels">[3]Entries!$DY$6:$DY$25</definedName>
    <definedName name="T_LNotype">[3]Entries!$EH$6:$EH$25</definedName>
    <definedName name="T_Location">'[2]X-List Entries'!$DC$10:$DC$66</definedName>
    <definedName name="T_LPerformanceinwattage">[3]Entries!$EI$6:$EI$25</definedName>
    <definedName name="T_LShapeofillumination">[3]Entries!$EG$6:$EG$25</definedName>
    <definedName name="T_LSpecials">[3]Entries!$EK$6:$EK$25</definedName>
    <definedName name="T_Material">'[2]X-List Entries'!$DQ$10:$DQ$66</definedName>
    <definedName name="T_Maximumoventemperaturegrilling">'[2]X-List Entries'!$EA$10:$EA$66</definedName>
    <definedName name="T_Maximumoventemperaturenormal">'[2]X-List Entries'!$DZ$10:$DZ$66</definedName>
    <definedName name="T_Maximumtemperaturegrilling">[3]Entries!$FL$6:$FL$25</definedName>
    <definedName name="T_Maximumtemperaturenormal">[3]Entries!$FK$6:$FK$25</definedName>
    <definedName name="T_Maxpower">'[2]X-List Entries'!$ED$10:$ED$66</definedName>
    <definedName name="T_Noofapplicationlevels">'[2]X-List Entries'!$CX$10:$CX$66</definedName>
    <definedName name="T_Noofdoorpanes">'[2]X-List Entries'!$DI$10:$DI$66</definedName>
    <definedName name="T_NoofdoorpanesN13">'[2]X-List Entries'!$DN$10:$DN$66</definedName>
    <definedName name="T_Notype">'[2]X-List Entries'!$DA$10:$DA$66</definedName>
    <definedName name="T_Opening">'[2]X-List Entries'!$DF$10:$DF$66</definedName>
    <definedName name="T_Performanceinwattage">'[2]X-List Entries'!$DB$10:$DB$66</definedName>
    <definedName name="T_Plug">'[2]X-List Entries'!$EJ$10:$EJ$66</definedName>
    <definedName name="T_Powerchord">'[2]X-List Entries'!$EI$10:$EI$66</definedName>
    <definedName name="T_Ratinglabelheatingmode">'[2]X-List Entries'!$EG$10:$EG$66</definedName>
    <definedName name="T_Ratinglabeltotalpower">'[2]X-List Entries'!$EH$10:$EH$66</definedName>
    <definedName name="T_SCavityvolumeinlitre">[3]Entries!$EB$6:$EB$25</definedName>
    <definedName name="T_SColourofenamel">[3]Entries!$EC$6:$EC$25</definedName>
    <definedName name="T_Shapeofillumination">'[2]X-List Entries'!$CZ$10:$CZ$66</definedName>
    <definedName name="T_SLocation">[3]Entries!$EA$6:$EA$25</definedName>
    <definedName name="T_SLocationillumination">[3]Entries!$EP$6:$EP$25</definedName>
    <definedName name="T_SNoofapplicationlevels">[3]Entries!$ED$6:$ED$25</definedName>
    <definedName name="T_SNotype">[3]Entries!$EN$6:$EN$25</definedName>
    <definedName name="T_Specials">'[2]X-List Entries'!$DD$10:$DD$66</definedName>
    <definedName name="T_SPerformanceinwattage">[3]Entries!$EO$6:$EO$25</definedName>
    <definedName name="T_SShapeofillumination">[3]Entries!$EM$6:$EM$25</definedName>
    <definedName name="T_Temperaturepyrolyse">'[2]X-List Entries'!$DK$10:$DK$66</definedName>
    <definedName name="T_Voltage">'[2]X-List Entries'!$EB$10:$EB$66</definedName>
    <definedName name="TEST0" localSheetId="6">#REF!</definedName>
    <definedName name="TEST0" localSheetId="7">#REF!</definedName>
    <definedName name="TEST0" localSheetId="5">#REF!</definedName>
    <definedName name="TEST0" localSheetId="9">#REF!</definedName>
    <definedName name="TEST0" localSheetId="2">#REF!</definedName>
    <definedName name="TEST0" localSheetId="14">#REF!</definedName>
    <definedName name="TEST0">#REF!</definedName>
    <definedName name="TESTHKEY" localSheetId="6">#REF!</definedName>
    <definedName name="TESTHKEY" localSheetId="7">#REF!</definedName>
    <definedName name="TESTHKEY" localSheetId="5">#REF!</definedName>
    <definedName name="TESTHKEY" localSheetId="9">#REF!</definedName>
    <definedName name="TESTHKEY" localSheetId="2">#REF!</definedName>
    <definedName name="TESTHKEY" localSheetId="14">#REF!</definedName>
    <definedName name="TESTHKEY">#REF!</definedName>
    <definedName name="UI_for_heating_modes_transfer_code" localSheetId="6">#REF!</definedName>
    <definedName name="UI_for_heating_modes_transfer_code" localSheetId="7">#REF!</definedName>
    <definedName name="UI_for_heating_modes_transfer_code" localSheetId="5">#REF!</definedName>
    <definedName name="UI_for_heating_modes_transfer_code" localSheetId="9">#REF!</definedName>
    <definedName name="UI_for_heating_modes_transfer_code" localSheetId="2">#REF!</definedName>
    <definedName name="UI_for_heating_modes_transfer_code" localSheetId="1">#REF!</definedName>
    <definedName name="UI_for_heating_modes_transfer_code">#REF!</definedName>
    <definedName name="UIType">UITypes!$A$2:$A$10</definedName>
    <definedName name="VIB" localSheetId="6">#REF!</definedName>
    <definedName name="VIB" localSheetId="7">#REF!</definedName>
    <definedName name="VIB" localSheetId="5">#REF!</definedName>
    <definedName name="VIB" localSheetId="9">#REF!</definedName>
    <definedName name="VIB" localSheetId="2">#REF!</definedName>
    <definedName name="VIB" localSheetId="1">#REF!</definedName>
    <definedName name="VIB">#REF!</definedName>
    <definedName name="w">#REF!</definedName>
    <definedName name="WSK">[7]Vergleich_Mech_Elektr.!$F$8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V50" i="12" l="1"/>
  <c r="BU50" i="12"/>
  <c r="BT50" i="12"/>
  <c r="V50" i="12"/>
  <c r="U50" i="12"/>
  <c r="T50" i="12"/>
  <c r="S50" i="12"/>
  <c r="R50" i="12"/>
  <c r="Q50" i="12"/>
  <c r="BV49" i="12"/>
  <c r="BU49" i="12"/>
  <c r="BT49" i="12"/>
  <c r="V49" i="12"/>
  <c r="U49" i="12"/>
  <c r="T49" i="12"/>
  <c r="S49" i="12"/>
  <c r="R49" i="12"/>
  <c r="Q49" i="12"/>
  <c r="BV28" i="12" l="1"/>
  <c r="BU28" i="12"/>
  <c r="BT28" i="12"/>
  <c r="V28" i="12"/>
  <c r="U28" i="12"/>
  <c r="T28" i="12"/>
  <c r="S28" i="12"/>
  <c r="R28" i="12"/>
  <c r="Q28" i="12"/>
  <c r="BV20" i="12"/>
  <c r="BU20" i="12"/>
  <c r="BT20" i="12"/>
  <c r="V20" i="12"/>
  <c r="U20" i="12"/>
  <c r="T20" i="12"/>
  <c r="S20" i="12"/>
  <c r="R20" i="12"/>
  <c r="Q20" i="12"/>
  <c r="BV14" i="12"/>
  <c r="BU14" i="12"/>
  <c r="BT14" i="12"/>
  <c r="V14" i="12"/>
  <c r="U14" i="12"/>
  <c r="T14" i="12"/>
  <c r="S14" i="12"/>
  <c r="R14" i="12"/>
  <c r="Q14" i="12"/>
  <c r="BV11" i="12"/>
  <c r="BU11" i="12"/>
  <c r="BT11" i="12"/>
  <c r="V11" i="12"/>
  <c r="U11" i="12"/>
  <c r="T11" i="12"/>
  <c r="S11" i="12"/>
  <c r="R11" i="12"/>
  <c r="Q11" i="12"/>
  <c r="BV54" i="12"/>
  <c r="BU54" i="12"/>
  <c r="BT54" i="12"/>
  <c r="V54" i="12"/>
  <c r="U54" i="12"/>
  <c r="T54" i="12"/>
  <c r="S54" i="12"/>
  <c r="R54" i="12"/>
  <c r="Q54" i="12"/>
  <c r="BV53" i="12"/>
  <c r="BU53" i="12"/>
  <c r="BT53" i="12"/>
  <c r="V53" i="12"/>
  <c r="U53" i="12"/>
  <c r="T53" i="12"/>
  <c r="S53" i="12"/>
  <c r="R53" i="12"/>
  <c r="Q53" i="12"/>
  <c r="BV52" i="12"/>
  <c r="BU52" i="12"/>
  <c r="BT52" i="12"/>
  <c r="V52" i="12"/>
  <c r="U52" i="12"/>
  <c r="T52" i="12"/>
  <c r="S52" i="12"/>
  <c r="R52" i="12"/>
  <c r="Q52" i="12"/>
  <c r="S8" i="12"/>
  <c r="T7" i="12"/>
  <c r="Q7" i="12"/>
  <c r="BT8" i="12" l="1"/>
  <c r="BU8" i="12"/>
  <c r="BV8" i="12"/>
  <c r="BT9" i="12"/>
  <c r="BU9" i="12"/>
  <c r="BV9" i="12"/>
  <c r="BT10" i="12"/>
  <c r="BU10" i="12"/>
  <c r="BV10" i="12"/>
  <c r="BT12" i="12"/>
  <c r="BU12" i="12"/>
  <c r="BV12" i="12"/>
  <c r="BT13" i="12"/>
  <c r="BU13" i="12"/>
  <c r="BV13" i="12"/>
  <c r="BT15" i="12"/>
  <c r="BU15" i="12"/>
  <c r="BV15" i="12"/>
  <c r="BT16" i="12"/>
  <c r="BU16" i="12"/>
  <c r="BV16" i="12"/>
  <c r="BT17" i="12"/>
  <c r="BU17" i="12"/>
  <c r="BV17" i="12"/>
  <c r="BT18" i="12"/>
  <c r="BU18" i="12"/>
  <c r="BV18" i="12"/>
  <c r="BT19" i="12"/>
  <c r="BU19" i="12"/>
  <c r="BV19" i="12"/>
  <c r="BT21" i="12"/>
  <c r="BU21" i="12"/>
  <c r="BV21" i="12"/>
  <c r="BT22" i="12"/>
  <c r="BU22" i="12"/>
  <c r="BV22" i="12"/>
  <c r="BT23" i="12"/>
  <c r="BU23" i="12"/>
  <c r="BV23" i="12"/>
  <c r="BT24" i="12"/>
  <c r="BU24" i="12"/>
  <c r="BV24" i="12"/>
  <c r="BT25" i="12"/>
  <c r="BU25" i="12"/>
  <c r="BV25" i="12"/>
  <c r="BT26" i="12"/>
  <c r="BU26" i="12"/>
  <c r="BV26" i="12"/>
  <c r="BT27" i="12"/>
  <c r="BU27" i="12"/>
  <c r="BV27" i="12"/>
  <c r="BT29" i="12"/>
  <c r="BU29" i="12"/>
  <c r="BV29" i="12"/>
  <c r="BT30" i="12"/>
  <c r="BU30" i="12"/>
  <c r="BV30" i="12"/>
  <c r="BT31" i="12"/>
  <c r="BU31" i="12"/>
  <c r="BV31" i="12"/>
  <c r="BT32" i="12"/>
  <c r="BU32" i="12"/>
  <c r="BV32" i="12"/>
  <c r="BT33" i="12"/>
  <c r="BU33" i="12"/>
  <c r="BV33" i="12"/>
  <c r="BT34" i="12"/>
  <c r="BU34" i="12"/>
  <c r="BV34" i="12"/>
  <c r="BT35" i="12"/>
  <c r="BU35" i="12"/>
  <c r="BV35" i="12"/>
  <c r="BT36" i="12"/>
  <c r="BU36" i="12"/>
  <c r="BV36" i="12"/>
  <c r="BT37" i="12"/>
  <c r="BU37" i="12"/>
  <c r="BV37" i="12"/>
  <c r="BT38" i="12"/>
  <c r="BU38" i="12"/>
  <c r="BV38" i="12"/>
  <c r="BT39" i="12"/>
  <c r="BU39" i="12"/>
  <c r="BV39" i="12"/>
  <c r="BT40" i="12"/>
  <c r="BU40" i="12"/>
  <c r="BV40" i="12"/>
  <c r="BT41" i="12"/>
  <c r="BU41" i="12"/>
  <c r="BV41" i="12"/>
  <c r="BT42" i="12"/>
  <c r="BU42" i="12"/>
  <c r="BV42" i="12"/>
  <c r="BT43" i="12"/>
  <c r="BU43" i="12"/>
  <c r="BV43" i="12"/>
  <c r="BT44" i="12"/>
  <c r="BU44" i="12"/>
  <c r="BV44" i="12"/>
  <c r="BT45" i="12"/>
  <c r="BU45" i="12"/>
  <c r="BV45" i="12"/>
  <c r="BT46" i="12"/>
  <c r="BU46" i="12"/>
  <c r="BV46" i="12"/>
  <c r="BT47" i="12"/>
  <c r="BU47" i="12"/>
  <c r="BV47" i="12"/>
  <c r="BT48" i="12"/>
  <c r="BU48" i="12"/>
  <c r="BV48" i="12"/>
  <c r="BT51" i="12"/>
  <c r="BU51" i="12"/>
  <c r="BV51" i="12"/>
  <c r="BV7" i="12"/>
  <c r="BU7" i="12"/>
  <c r="BT7" i="12"/>
  <c r="Q51" i="12" l="1"/>
  <c r="R51" i="12"/>
  <c r="S51" i="12"/>
  <c r="T51" i="12"/>
  <c r="U51" i="12"/>
  <c r="V51" i="12"/>
  <c r="Q8" i="12" l="1"/>
  <c r="R8" i="12"/>
  <c r="T8" i="12"/>
  <c r="U8" i="12"/>
  <c r="V8" i="12"/>
  <c r="Q9" i="12"/>
  <c r="R9" i="12"/>
  <c r="S9" i="12"/>
  <c r="T9" i="12"/>
  <c r="U9" i="12"/>
  <c r="V9" i="12"/>
  <c r="Q10" i="12"/>
  <c r="R10" i="12"/>
  <c r="S10" i="12"/>
  <c r="T10" i="12"/>
  <c r="U10" i="12"/>
  <c r="V10" i="12"/>
  <c r="Q12" i="12"/>
  <c r="R12" i="12"/>
  <c r="S12" i="12"/>
  <c r="T12" i="12"/>
  <c r="U12" i="12"/>
  <c r="V12" i="12"/>
  <c r="Q13" i="12"/>
  <c r="R13" i="12"/>
  <c r="S13" i="12"/>
  <c r="T13" i="12"/>
  <c r="U13" i="12"/>
  <c r="V13" i="12"/>
  <c r="Q15" i="12"/>
  <c r="R15" i="12"/>
  <c r="S15" i="12"/>
  <c r="T15" i="12"/>
  <c r="U15" i="12"/>
  <c r="V15" i="12"/>
  <c r="Q16" i="12"/>
  <c r="R16" i="12"/>
  <c r="S16" i="12"/>
  <c r="T16" i="12"/>
  <c r="U16" i="12"/>
  <c r="V16" i="12"/>
  <c r="Q17" i="12"/>
  <c r="R17" i="12"/>
  <c r="S17" i="12"/>
  <c r="T17" i="12"/>
  <c r="U17" i="12"/>
  <c r="V17" i="12"/>
  <c r="Q18" i="12"/>
  <c r="R18" i="12"/>
  <c r="S18" i="12"/>
  <c r="T18" i="12"/>
  <c r="U18" i="12"/>
  <c r="V18" i="12"/>
  <c r="Q19" i="12"/>
  <c r="R19" i="12"/>
  <c r="S19" i="12"/>
  <c r="T19" i="12"/>
  <c r="U19" i="12"/>
  <c r="V19" i="12"/>
  <c r="Q21" i="12"/>
  <c r="R21" i="12"/>
  <c r="S21" i="12"/>
  <c r="T21" i="12"/>
  <c r="U21" i="12"/>
  <c r="V21" i="12"/>
  <c r="Q22" i="12"/>
  <c r="R22" i="12"/>
  <c r="S22" i="12"/>
  <c r="T22" i="12"/>
  <c r="U22" i="12"/>
  <c r="V22" i="12"/>
  <c r="Q23" i="12"/>
  <c r="R23" i="12"/>
  <c r="S23" i="12"/>
  <c r="T23" i="12"/>
  <c r="U23" i="12"/>
  <c r="V23" i="12"/>
  <c r="Q24" i="12"/>
  <c r="R24" i="12"/>
  <c r="S24" i="12"/>
  <c r="T24" i="12"/>
  <c r="U24" i="12"/>
  <c r="V24" i="12"/>
  <c r="Q25" i="12"/>
  <c r="R25" i="12"/>
  <c r="S25" i="12"/>
  <c r="T25" i="12"/>
  <c r="U25" i="12"/>
  <c r="V25" i="12"/>
  <c r="Q26" i="12"/>
  <c r="R26" i="12"/>
  <c r="S26" i="12"/>
  <c r="T26" i="12"/>
  <c r="U26" i="12"/>
  <c r="V26" i="12"/>
  <c r="Q27" i="12"/>
  <c r="R27" i="12"/>
  <c r="S27" i="12"/>
  <c r="T27" i="12"/>
  <c r="U27" i="12"/>
  <c r="V27" i="12"/>
  <c r="Q29" i="12"/>
  <c r="R29" i="12"/>
  <c r="S29" i="12"/>
  <c r="T29" i="12"/>
  <c r="U29" i="12"/>
  <c r="V29" i="12"/>
  <c r="Q30" i="12"/>
  <c r="R30" i="12"/>
  <c r="S30" i="12"/>
  <c r="T30" i="12"/>
  <c r="U30" i="12"/>
  <c r="V30" i="12"/>
  <c r="Q31" i="12"/>
  <c r="R31" i="12"/>
  <c r="S31" i="12"/>
  <c r="T31" i="12"/>
  <c r="U31" i="12"/>
  <c r="V31" i="12"/>
  <c r="Q32" i="12"/>
  <c r="R32" i="12"/>
  <c r="S32" i="12"/>
  <c r="T32" i="12"/>
  <c r="U32" i="12"/>
  <c r="V32" i="12"/>
  <c r="Q33" i="12"/>
  <c r="R33" i="12"/>
  <c r="S33" i="12"/>
  <c r="T33" i="12"/>
  <c r="U33" i="12"/>
  <c r="V33" i="12"/>
  <c r="Q34" i="12"/>
  <c r="R34" i="12"/>
  <c r="S34" i="12"/>
  <c r="T34" i="12"/>
  <c r="U34" i="12"/>
  <c r="V34" i="12"/>
  <c r="Q35" i="12"/>
  <c r="R35" i="12"/>
  <c r="S35" i="12"/>
  <c r="T35" i="12"/>
  <c r="U35" i="12"/>
  <c r="V35" i="12"/>
  <c r="Q36" i="12"/>
  <c r="R36" i="12"/>
  <c r="S36" i="12"/>
  <c r="T36" i="12"/>
  <c r="U36" i="12"/>
  <c r="V36" i="12"/>
  <c r="Q37" i="12"/>
  <c r="R37" i="12"/>
  <c r="S37" i="12"/>
  <c r="T37" i="12"/>
  <c r="U37" i="12"/>
  <c r="V37" i="12"/>
  <c r="Q38" i="12"/>
  <c r="R38" i="12"/>
  <c r="S38" i="12"/>
  <c r="T38" i="12"/>
  <c r="U38" i="12"/>
  <c r="V38" i="12"/>
  <c r="Q39" i="12"/>
  <c r="R39" i="12"/>
  <c r="S39" i="12"/>
  <c r="T39" i="12"/>
  <c r="U39" i="12"/>
  <c r="V39" i="12"/>
  <c r="Q40" i="12"/>
  <c r="R40" i="12"/>
  <c r="S40" i="12"/>
  <c r="T40" i="12"/>
  <c r="U40" i="12"/>
  <c r="V40" i="12"/>
  <c r="Q41" i="12"/>
  <c r="R41" i="12"/>
  <c r="S41" i="12"/>
  <c r="T41" i="12"/>
  <c r="U41" i="12"/>
  <c r="V41" i="12"/>
  <c r="Q42" i="12"/>
  <c r="R42" i="12"/>
  <c r="S42" i="12"/>
  <c r="T42" i="12"/>
  <c r="U42" i="12"/>
  <c r="V42" i="12"/>
  <c r="Q43" i="12"/>
  <c r="R43" i="12"/>
  <c r="S43" i="12"/>
  <c r="T43" i="12"/>
  <c r="U43" i="12"/>
  <c r="V43" i="12"/>
  <c r="Q44" i="12"/>
  <c r="R44" i="12"/>
  <c r="S44" i="12"/>
  <c r="T44" i="12"/>
  <c r="U44" i="12"/>
  <c r="V44" i="12"/>
  <c r="Q45" i="12"/>
  <c r="R45" i="12"/>
  <c r="S45" i="12"/>
  <c r="T45" i="12"/>
  <c r="U45" i="12"/>
  <c r="V45" i="12"/>
  <c r="Q46" i="12"/>
  <c r="R46" i="12"/>
  <c r="S46" i="12"/>
  <c r="T46" i="12"/>
  <c r="U46" i="12"/>
  <c r="V46" i="12"/>
  <c r="Q47" i="12"/>
  <c r="R47" i="12"/>
  <c r="S47" i="12"/>
  <c r="T47" i="12"/>
  <c r="U47" i="12"/>
  <c r="V47" i="12"/>
  <c r="Q48" i="12"/>
  <c r="R48" i="12"/>
  <c r="S48" i="12"/>
  <c r="T48" i="12"/>
  <c r="U48" i="12"/>
  <c r="V48" i="12"/>
  <c r="V7" i="12"/>
  <c r="U7" i="12"/>
  <c r="S7" i="12"/>
  <c r="R7" i="12"/>
</calcChain>
</file>

<file path=xl/comments1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A4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21" authorId="1" shapeId="0">
      <text>
        <r>
          <rPr>
            <b/>
            <sz val="9"/>
            <color indexed="81"/>
            <rFont val="Segoe UI"/>
            <family val="2"/>
          </rPr>
          <t xml:space="preserve"> HA wird nicht gezählt, steht nur im finish state zur Verfügung</t>
        </r>
      </text>
    </comment>
    <comment ref="H21" authorId="1" shapeId="0">
      <text>
        <r>
          <rPr>
            <b/>
            <sz val="9"/>
            <color indexed="81"/>
            <rFont val="Segoe UI"/>
            <family val="2"/>
          </rPr>
          <t xml:space="preserve"> HA wird nicht gezählt, steht nur im finish state zur Verfügung</t>
        </r>
      </text>
    </comment>
    <comment ref="B22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22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20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19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19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19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18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18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Wingert, Nikolaus (REU/OP-CGDEIT)</author>
    <author>Ranzenberger, Barbara (REU/OP-CGDOAC)</author>
  </authors>
  <commentList>
    <comment ref="A3" authorId="0" shapeId="0">
      <text>
        <r>
          <rPr>
            <b/>
            <sz val="9"/>
            <color indexed="81"/>
            <rFont val="Segoe UI"/>
            <family val="2"/>
          </rPr>
          <t>Wingert, Nikolaus (REU/OP-CGDEIT):</t>
        </r>
        <r>
          <rPr>
            <sz val="9"/>
            <color indexed="81"/>
            <rFont val="Segoe UI"/>
            <family val="2"/>
          </rPr>
          <t xml:space="preserve">
Ohne Ringheizkörper</t>
        </r>
      </text>
    </comment>
    <comment ref="B14" authorId="1" shapeId="0">
      <text>
        <r>
          <rPr>
            <b/>
            <sz val="9"/>
            <color indexed="81"/>
            <rFont val="Segoe UI"/>
            <family val="2"/>
          </rPr>
          <t>HA wird nicht gezählt, aktivierung über Grundeinstellung notwendig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<sst xmlns="http://schemas.openxmlformats.org/spreadsheetml/2006/main" count="4503" uniqueCount="713">
  <si>
    <t>Name</t>
  </si>
  <si>
    <t>3D-Hot Air</t>
  </si>
  <si>
    <t>yes</t>
  </si>
  <si>
    <t>no</t>
  </si>
  <si>
    <t>Top/Bottom heat</t>
  </si>
  <si>
    <t>Grill large surface</t>
  </si>
  <si>
    <t>Grill small surface</t>
  </si>
  <si>
    <t>Bottom heat</t>
  </si>
  <si>
    <t>Keep warm</t>
  </si>
  <si>
    <t>Plate preheat</t>
  </si>
  <si>
    <t>Cool start</t>
  </si>
  <si>
    <t>Pyrolysis</t>
  </si>
  <si>
    <t>Ecolysis</t>
  </si>
  <si>
    <t>Byte</t>
  </si>
  <si>
    <t>VIB</t>
  </si>
  <si>
    <t>Door Switch</t>
  </si>
  <si>
    <t>Byte 0</t>
  </si>
  <si>
    <t>Byte 1</t>
  </si>
  <si>
    <t>Byte 2</t>
  </si>
  <si>
    <t>Byte 3</t>
  </si>
  <si>
    <t>Byte 4</t>
  </si>
  <si>
    <t>size</t>
  </si>
  <si>
    <t>Microwave:</t>
  </si>
  <si>
    <t>Full Steam:</t>
  </si>
  <si>
    <t>Added Steam:</t>
  </si>
  <si>
    <t>Cleaning</t>
  </si>
  <si>
    <t>unused</t>
  </si>
  <si>
    <t>Door Type</t>
  </si>
  <si>
    <t>Venting Flap</t>
  </si>
  <si>
    <t>Light</t>
  </si>
  <si>
    <t>400V</t>
  </si>
  <si>
    <t>CTP</t>
  </si>
  <si>
    <t>Nefflight</t>
  </si>
  <si>
    <t>Brand</t>
  </si>
  <si>
    <t>Lambda</t>
  </si>
  <si>
    <t>StM</t>
  </si>
  <si>
    <t>Cooling Fan Type</t>
  </si>
  <si>
    <t>Parameter No.</t>
  </si>
  <si>
    <t>CFRONT</t>
  </si>
  <si>
    <t>Home Connect</t>
  </si>
  <si>
    <t>Accesory</t>
  </si>
  <si>
    <t>Water Hardness</t>
  </si>
  <si>
    <t>°C</t>
  </si>
  <si>
    <t>min</t>
  </si>
  <si>
    <t>yes/no</t>
  </si>
  <si>
    <t>Conventional</t>
  </si>
  <si>
    <t>Remarks</t>
  </si>
  <si>
    <t>Refers To</t>
  </si>
  <si>
    <t>OperatingMode</t>
  </si>
  <si>
    <t xml:space="preserve">Minimum selectable value of the cavity target temperature for the operating mode (value &gt; 10) 
Minimum selectable value of the target heating level for the operating mode (value &lt;= 10) </t>
  </si>
  <si>
    <t>Modifiers.TargetTemperature
Modifiers.TargetHeatingLevel</t>
  </si>
  <si>
    <t xml:space="preserve">Maximum selectable value of the cavity target temperature for the operating mode (value &gt; 10) 
Maximum selectable value of the target heating level for the operating mode (value &lt;= 10) </t>
  </si>
  <si>
    <t>Modifiers.FastPreheat</t>
  </si>
  <si>
    <t>Modifiers.MeatProbe</t>
  </si>
  <si>
    <t>Defines the default value of the duration for the operating mode, if Oven Timer is selected</t>
  </si>
  <si>
    <t>Modifiers.Duration</t>
  </si>
  <si>
    <t>Defines the minimum value of the duration for the operating mode</t>
  </si>
  <si>
    <t>Defines if the modifier TimeShift is enabled for the operating mode (No/Yes)</t>
  </si>
  <si>
    <t>Modifers.TimeShift</t>
  </si>
  <si>
    <t>Defines if the Heating mode is allowed to run with the door opened (No/Yes)</t>
  </si>
  <si>
    <t>StartConditions.DoorStatus</t>
  </si>
  <si>
    <t>Defines if the water tanc has to contain water to enable the start of the mode (No/Yes)</t>
  </si>
  <si>
    <t>Defines if Oven Lamp is enabled to be switched ON during running of the operating mode</t>
  </si>
  <si>
    <t>Steam Assist enabled</t>
  </si>
  <si>
    <t>Modifiers.Microwave</t>
  </si>
  <si>
    <t>StartConditions.Temperature</t>
  </si>
  <si>
    <t>Modifiers.AddedSteam</t>
  </si>
  <si>
    <t>Description</t>
  </si>
  <si>
    <t>Operating Mode ID for the Dbus Communition</t>
  </si>
  <si>
    <t>Neam of the Operating Mode [English]</t>
  </si>
  <si>
    <t>Parameter</t>
  </si>
  <si>
    <t>Priority for SUI</t>
  </si>
  <si>
    <t>Define if the opearting mode enables the FastPreheat modifier</t>
  </si>
  <si>
    <t>Defines if the MeatProbe is enabled for operating mode</t>
  </si>
  <si>
    <t>StartConditions.WaterLevel</t>
  </si>
  <si>
    <t>Defines if during the Preheat Phase the Preheat Progress Bar is displayed</t>
  </si>
  <si>
    <t>OperatingMode.Running.Preheating</t>
  </si>
  <si>
    <t>OperatingMode.Running.Heating</t>
  </si>
  <si>
    <t>OperatingMode.Running.CavityLight</t>
  </si>
  <si>
    <t>Defines the maximum value of the duration for the operating mode. If the max value = 0 then the modifier duration is not available for the operating mode</t>
  </si>
  <si>
    <t>Minimum difference (T_target - T_cavity) that allows to start the mode;
255 = condition is not used</t>
  </si>
  <si>
    <t>Maximum oven temperature that allows to start this mode</t>
  </si>
  <si>
    <t>0/1</t>
  </si>
  <si>
    <t>Backlight Luminosity</t>
  </si>
  <si>
    <t>Sound Loudness</t>
  </si>
  <si>
    <t>Default value</t>
  </si>
  <si>
    <t>Values range</t>
  </si>
  <si>
    <t>1, 2, 3, 4, 5</t>
  </si>
  <si>
    <t>1, 2, 3</t>
  </si>
  <si>
    <t>Explanation</t>
  </si>
  <si>
    <t xml:space="preserve">Three possible slide shows with pictures from specific folder </t>
  </si>
  <si>
    <t xml:space="preserve">Display specific "picture" from folder </t>
  </si>
  <si>
    <t>LED Luminosity</t>
  </si>
  <si>
    <t>First Settings</t>
  </si>
  <si>
    <t>x</t>
  </si>
  <si>
    <t>Priority</t>
  </si>
  <si>
    <t>Display Test Picture</t>
  </si>
  <si>
    <t xml:space="preserve">Heating_
Mode_ID_DBus
</t>
  </si>
  <si>
    <t>Set_Temperature_Min</t>
  </si>
  <si>
    <t>Set_Temperature_Max</t>
  </si>
  <si>
    <t>Set_Temperature_
Default</t>
  </si>
  <si>
    <t>Duration_Min</t>
  </si>
  <si>
    <t>Microwave_Power</t>
  </si>
  <si>
    <t>Temperature_To_Start_Max</t>
  </si>
  <si>
    <t>Illumination_At _Running_Enabled</t>
  </si>
  <si>
    <t>TimeShift_Enabled</t>
  </si>
  <si>
    <t>WaterTanc_required</t>
  </si>
  <si>
    <t>PreheatBar_Display</t>
  </si>
  <si>
    <t>Duration_ Count_Down_ Mode</t>
  </si>
  <si>
    <t>Duration_Dax</t>
  </si>
  <si>
    <t>FastPreheat_Enabled</t>
  </si>
  <si>
    <t>AddedSteam_Enabled</t>
  </si>
  <si>
    <t>Heating_With_Open_Door_Enabled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</si>
  <si>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</si>
  <si>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</si>
  <si>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</si>
  <si>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</si>
  <si>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</si>
  <si>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</si>
  <si>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</si>
  <si>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</si>
  <si>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</si>
  <si>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UI_ID</t>
  </si>
  <si>
    <t>UI Type</t>
  </si>
  <si>
    <t>Siemens AV1</t>
  </si>
  <si>
    <t>Siemens AV2</t>
  </si>
  <si>
    <t>Siemens Premium</t>
  </si>
  <si>
    <t>Neff AV1</t>
  </si>
  <si>
    <t>Neff AV2</t>
  </si>
  <si>
    <t>Neff Premium</t>
  </si>
  <si>
    <t>Bosch AV1</t>
  </si>
  <si>
    <t>Bosch AV2</t>
  </si>
  <si>
    <t>Bosch Premium</t>
  </si>
  <si>
    <t>MeatProbe_Enabled</t>
  </si>
  <si>
    <t>AddedMicrowave_Enabled</t>
  </si>
  <si>
    <t>Temperature_To_Start_Variable</t>
  </si>
  <si>
    <t>Set_Temperature_Default</t>
  </si>
  <si>
    <t>Duration_Default</t>
  </si>
  <si>
    <t xml:space="preserve">Heating_Mode_ID_DBus
</t>
  </si>
  <si>
    <t>Duration_Max</t>
  </si>
  <si>
    <t>MVP1</t>
  </si>
  <si>
    <t>Play Sound</t>
  </si>
  <si>
    <t>Play specific Sound Pattern with the selected Sound Loudness</t>
  </si>
  <si>
    <t>Run Slide Show</t>
  </si>
  <si>
    <t>Set Time</t>
  </si>
  <si>
    <t>00:00 - 23:59</t>
  </si>
  <si>
    <t>Oven Type</t>
  </si>
  <si>
    <t>Basic Settings Menu</t>
  </si>
  <si>
    <t>Operating_Mode_Type</t>
  </si>
  <si>
    <t>Text</t>
  </si>
  <si>
    <t>Defines the type of the operating mode: Conventional, Cleaning, Steam. This information will be used to define the menu items and for specific branches during operation</t>
  </si>
  <si>
    <t>ControlBy_CTP_Enabled</t>
  </si>
  <si>
    <t>OperateWith_OpenDoor_Enabled</t>
  </si>
  <si>
    <t>OperateWith_CTP_Enabled</t>
  </si>
  <si>
    <t>Endless_Enabled</t>
  </si>
  <si>
    <t>Defrost</t>
  </si>
  <si>
    <t>Dough proving</t>
  </si>
  <si>
    <t>Dehydrate</t>
  </si>
  <si>
    <t>Resting</t>
  </si>
  <si>
    <t>2D-Hot Air</t>
  </si>
  <si>
    <t>Hot Air Gentle</t>
  </si>
  <si>
    <t>Top/Bottom Heat Gentle</t>
  </si>
  <si>
    <t>Hotair grilling</t>
  </si>
  <si>
    <t xml:space="preserve">Pizzamode </t>
  </si>
  <si>
    <t>Intensive Heat</t>
  </si>
  <si>
    <t>Slow Cooking</t>
  </si>
  <si>
    <t>Sabbath</t>
  </si>
  <si>
    <t>Steaming</t>
  </si>
  <si>
    <t xml:space="preserve">Regenerating </t>
  </si>
  <si>
    <t>Sous Vide</t>
  </si>
  <si>
    <t>Set_Temperature_Max
(General)</t>
  </si>
  <si>
    <t>Set_Temperature_Max
(Full Steam)</t>
  </si>
  <si>
    <t>Microwave Solo</t>
  </si>
  <si>
    <t>+MW</t>
  </si>
  <si>
    <t>(B,S, N)</t>
  </si>
  <si>
    <t>Defrosting</t>
  </si>
  <si>
    <t>FS</t>
  </si>
  <si>
    <t>AS</t>
  </si>
  <si>
    <t>MW</t>
  </si>
  <si>
    <t>--</t>
  </si>
  <si>
    <t>B,S,N</t>
  </si>
  <si>
    <t>B,S</t>
  </si>
  <si>
    <t>S</t>
  </si>
  <si>
    <t>B,N</t>
  </si>
  <si>
    <t>(B,S,N)</t>
  </si>
  <si>
    <t>PS</t>
  </si>
  <si>
    <t>Duration_
Default
[min]</t>
  </si>
  <si>
    <t>MW Combination enabled
In case Added Microwave is selected the default duration is 20min.</t>
  </si>
  <si>
    <t>Microwave Power to be driven during the MW Combination mode (90-360W)</t>
  </si>
  <si>
    <t>Set_Temperature_Max
(AV1 CP)</t>
  </si>
  <si>
    <t>Steam</t>
  </si>
  <si>
    <t>EOX6021, VNS1</t>
  </si>
  <si>
    <t>Zuordnung Elektronik-Module zu den Geräten</t>
  </si>
  <si>
    <t>CPM</t>
  </si>
  <si>
    <t>ADM</t>
  </si>
  <si>
    <t>Nr.</t>
  </si>
  <si>
    <t>Value class</t>
  </si>
  <si>
    <t>Pyrolyse</t>
  </si>
  <si>
    <t>EcoLyse</t>
  </si>
  <si>
    <t>Bake Sensor</t>
  </si>
  <si>
    <t>MeatProbe</t>
  </si>
  <si>
    <t>VITO</t>
  </si>
  <si>
    <t>Water supply</t>
  </si>
  <si>
    <t>CPM (MW, BS)</t>
  </si>
  <si>
    <t>CPM (V2)</t>
  </si>
  <si>
    <t>CPM (PureSt</t>
  </si>
  <si>
    <t>X6021R343A</t>
  </si>
  <si>
    <t>P</t>
  </si>
  <si>
    <t>Compact</t>
  </si>
  <si>
    <t>EcoF</t>
  </si>
  <si>
    <t>FWS</t>
  </si>
  <si>
    <t>X6021R340A</t>
  </si>
  <si>
    <t>BI-oven</t>
  </si>
  <si>
    <t>T_rec</t>
  </si>
  <si>
    <t>X6021R339A</t>
  </si>
  <si>
    <t>X6021R319A</t>
  </si>
  <si>
    <t>AV2</t>
  </si>
  <si>
    <t>EcoB</t>
  </si>
  <si>
    <t>X6021R314A</t>
  </si>
  <si>
    <t>X6021R312A</t>
  </si>
  <si>
    <t>X6021R309A</t>
  </si>
  <si>
    <t>X6021R301A</t>
  </si>
  <si>
    <t>X6021R296A</t>
  </si>
  <si>
    <t>X6021R295A</t>
  </si>
  <si>
    <t>X6021R270A</t>
  </si>
  <si>
    <t>X6021R211A</t>
  </si>
  <si>
    <t>X6021R206A</t>
  </si>
  <si>
    <t>X6021R204A</t>
  </si>
  <si>
    <t>X6021R226A</t>
  </si>
  <si>
    <t>X6021R196A</t>
  </si>
  <si>
    <t>AV1</t>
  </si>
  <si>
    <t>X6021R195A</t>
  </si>
  <si>
    <t>X6021R189A</t>
  </si>
  <si>
    <t>X6021R185A</t>
  </si>
  <si>
    <t>PureSteamer</t>
  </si>
  <si>
    <t>T_side</t>
  </si>
  <si>
    <t>X6021R184A</t>
  </si>
  <si>
    <t>X6021R181A</t>
  </si>
  <si>
    <t>X6021R176A</t>
  </si>
  <si>
    <t>X6021R170A</t>
  </si>
  <si>
    <t>X6021R167A</t>
  </si>
  <si>
    <t>X6021R162A</t>
  </si>
  <si>
    <t>X6021R160A</t>
  </si>
  <si>
    <t>X6021R067A</t>
  </si>
  <si>
    <t>X6021R065A</t>
  </si>
  <si>
    <t>X6021R043A</t>
  </si>
  <si>
    <t>X6021R015A</t>
  </si>
  <si>
    <t>X6021R014A</t>
  </si>
  <si>
    <t>X6021R013A</t>
  </si>
  <si>
    <t>X6021R022A</t>
  </si>
  <si>
    <t>X6021R190A</t>
  </si>
  <si>
    <t>X6021R338A</t>
  </si>
  <si>
    <t>X6021R207A</t>
  </si>
  <si>
    <t>X6021R199A</t>
  </si>
  <si>
    <t>X6021R284A</t>
  </si>
  <si>
    <t>HM Table</t>
  </si>
  <si>
    <t>CVT_LE</t>
  </si>
  <si>
    <t>SE</t>
  </si>
  <si>
    <t>CPM Config Code</t>
  </si>
  <si>
    <t>CPM Module Code</t>
  </si>
  <si>
    <t>(x)</t>
  </si>
  <si>
    <t>Appliance Size</t>
  </si>
  <si>
    <t>Appliance Type</t>
  </si>
  <si>
    <t>FullSteam</t>
  </si>
  <si>
    <t>PureSteam</t>
  </si>
  <si>
    <t>Added 
Steam</t>
  </si>
  <si>
    <t>m</t>
  </si>
  <si>
    <t>s</t>
  </si>
  <si>
    <t>m - Multi
s - Single</t>
  </si>
  <si>
    <t>FWS- FestWasserAnschluss</t>
  </si>
  <si>
    <t>CVT</t>
  </si>
  <si>
    <t>Byte 5</t>
  </si>
  <si>
    <t>Water System</t>
  </si>
  <si>
    <t>Steam flap</t>
  </si>
  <si>
    <t xml:space="preserve">IAB Module </t>
  </si>
  <si>
    <t>Lambda Module</t>
  </si>
  <si>
    <t>Steam Module</t>
  </si>
  <si>
    <t>Convection fan type</t>
  </si>
  <si>
    <t>CCM Module</t>
  </si>
  <si>
    <t>to be defined</t>
  </si>
  <si>
    <t>first entry</t>
  </si>
  <si>
    <t>to be defined (possibly for each UI separate SW)</t>
  </si>
  <si>
    <t>Premium</t>
  </si>
  <si>
    <t>tbd</t>
  </si>
  <si>
    <t>Electronic Control</t>
  </si>
  <si>
    <t>DBus Node</t>
  </si>
  <si>
    <t>All Modules(Broadcast)</t>
  </si>
  <si>
    <t>0x0?h</t>
  </si>
  <si>
    <t xml:space="preserve">Neff Twist Pad 1        </t>
  </si>
  <si>
    <t>0x2?h     </t>
  </si>
  <si>
    <t xml:space="preserve">Neff Twist Pad 2          </t>
  </si>
  <si>
    <t>0x3?h   </t>
  </si>
  <si>
    <t>Inter Action Board 1</t>
  </si>
  <si>
    <t>0x4?h</t>
  </si>
  <si>
    <t xml:space="preserve">Inter Action Board 2            </t>
  </si>
  <si>
    <t>0x5?h </t>
  </si>
  <si>
    <t>0x7?h</t>
  </si>
  <si>
    <t xml:space="preserve">Lambda Module            </t>
  </si>
  <si>
    <t>0x8?h  </t>
  </si>
  <si>
    <t>Induction Power Module</t>
  </si>
  <si>
    <t>0x9?h</t>
  </si>
  <si>
    <t>System Master</t>
  </si>
  <si>
    <t>0xB?h</t>
  </si>
  <si>
    <t>PC</t>
  </si>
  <si>
    <t>0xC?h</t>
  </si>
  <si>
    <t>Electric Door Module</t>
  </si>
  <si>
    <t>0xD?h</t>
  </si>
  <si>
    <t xml:space="preserve">Control Power Module        </t>
  </si>
  <si>
    <t>0x1?h</t>
  </si>
  <si>
    <t>FS_FWS</t>
  </si>
  <si>
    <t>Text_At_Start</t>
  </si>
  <si>
    <t>Text_At_End</t>
  </si>
  <si>
    <t>Set_Temperature_Step_Size</t>
  </si>
  <si>
    <t>Set_Temperature_Step Size</t>
  </si>
  <si>
    <t>used also for Microwave Power [W]</t>
  </si>
  <si>
    <t xml:space="preserve">Step increment for the cavitiy setting. </t>
  </si>
  <si>
    <t>OperatingMode.Running.Start</t>
  </si>
  <si>
    <t>OperatingMode.Running.Ended</t>
  </si>
  <si>
    <t>Text to be displayed when the operating mode is started.
Text is displayed as notification which may be closed.
When the field is empty, there will be no text notification</t>
  </si>
  <si>
    <t>Text to be displayed when the operating mode is finished.
Text is displayed as notification which may be closed.
When the field is empty, there will be no text notification</t>
  </si>
  <si>
    <t>Descale</t>
  </si>
  <si>
    <t>Rinsing</t>
  </si>
  <si>
    <t>Full Steam</t>
  </si>
  <si>
    <t>Added Steam</t>
  </si>
  <si>
    <t>Microwave</t>
  </si>
  <si>
    <t>AV1_LE</t>
  </si>
  <si>
    <t>Added Value 1 Low End ( Cost Saving)</t>
  </si>
  <si>
    <t>Pure Steam</t>
  </si>
  <si>
    <t>Microwave Solo HM ID</t>
  </si>
  <si>
    <t>Descaling Flow (normal, standalone))</t>
  </si>
  <si>
    <t>Rinsing Flow (normal, standalone)</t>
  </si>
  <si>
    <t>Descaling Flow (FWT, standalone))</t>
  </si>
  <si>
    <t>Rinsing Flow (FWT, standalone)</t>
  </si>
  <si>
    <t>Any text mandatory for the cleanings</t>
  </si>
  <si>
    <t>Drying</t>
  </si>
  <si>
    <t>Settings for Drying</t>
  </si>
  <si>
    <t>Settings for Baking Sensor</t>
  </si>
  <si>
    <t>Defines point of time during running mode when the  countdown of the Duration will start:
0 = at the start of the operating mode [default]
1 = after preheat phase is completed</t>
  </si>
  <si>
    <t>REMOVED</t>
  </si>
  <si>
    <t>ADDED</t>
  </si>
  <si>
    <t>TBD</t>
  </si>
  <si>
    <t>Message Name</t>
  </si>
  <si>
    <t>No. Pars</t>
  </si>
  <si>
    <t>Function</t>
  </si>
  <si>
    <t>Send By</t>
  </si>
  <si>
    <t>Send To</t>
  </si>
  <si>
    <t>Reset Msg</t>
  </si>
  <si>
    <t>SUI Step 1</t>
  </si>
  <si>
    <t>MMB Status</t>
  </si>
  <si>
    <t>Trigerred By</t>
  </si>
  <si>
    <t>MMB Reaction / (Expected Reaction)</t>
  </si>
  <si>
    <t>Comments</t>
  </si>
  <si>
    <t>BS</t>
  </si>
  <si>
    <t>YES</t>
  </si>
  <si>
    <t>Reset</t>
  </si>
  <si>
    <t>any</t>
  </si>
  <si>
    <t>YES?</t>
  </si>
  <si>
    <t>0x7001</t>
  </si>
  <si>
    <t>Msg_Send_PwrFailure(0)</t>
  </si>
  <si>
    <t>Power MgM</t>
  </si>
  <si>
    <t>??</t>
  </si>
  <si>
    <t>Param1 = 1</t>
  </si>
  <si>
    <t>Msg_Send_PwrFailure(1)</t>
  </si>
  <si>
    <t xml:space="preserve">V &gt; 0,8Vn after less than 10x mains periods </t>
  </si>
  <si>
    <t>stores internal status</t>
  </si>
  <si>
    <t>Param1 = 0</t>
  </si>
  <si>
    <t>0x7002</t>
  </si>
  <si>
    <t>Msg_Set_Mode(0/2/3)</t>
  </si>
  <si>
    <t>Demo</t>
  </si>
  <si>
    <t>Mode selected by the user</t>
  </si>
  <si>
    <t>sends message to CPMx IABx, KnB, MMB2</t>
  </si>
  <si>
    <t>standard=0, service=2, demo=3</t>
  </si>
  <si>
    <t>0x7003</t>
  </si>
  <si>
    <t>Msg_Set_Mode_ByPC (1)</t>
  </si>
  <si>
    <t>Production</t>
  </si>
  <si>
    <t>enters into production mode</t>
  </si>
  <si>
    <t>production=1</t>
  </si>
  <si>
    <t>Msg_Set_Mode_ByPC (0 /2/3)</t>
  </si>
  <si>
    <t>Service</t>
  </si>
  <si>
    <t>MMB sends the mode to the remaining modules</t>
  </si>
  <si>
    <t>0x7004</t>
  </si>
  <si>
    <t>Msg_Send_ErrorRunTime</t>
  </si>
  <si>
    <t>Error Mgm</t>
  </si>
  <si>
    <t>display Error Code (optionally Debug Info)</t>
  </si>
  <si>
    <t>0x7005</t>
  </si>
  <si>
    <t>Msg_Set_Sound</t>
  </si>
  <si>
    <t>User IO Control</t>
  </si>
  <si>
    <t>IAB</t>
  </si>
  <si>
    <t>event requiring sound</t>
  </si>
  <si>
    <t>sends this message in order to start or stop the buzzer</t>
  </si>
  <si>
    <t>0x7006</t>
  </si>
  <si>
    <t>Msg_Send_EncoderState</t>
  </si>
  <si>
    <t>HM/Temp Selection</t>
  </si>
  <si>
    <t>KnB</t>
  </si>
  <si>
    <t>Sets the new Heating Mode/Temperature</t>
  </si>
  <si>
    <t>0x7007</t>
  </si>
  <si>
    <t>?</t>
  </si>
  <si>
    <t>0x7008</t>
  </si>
  <si>
    <t>Msg_Send_ButtonLightDimming</t>
  </si>
  <si>
    <t>every 30"</t>
  </si>
  <si>
    <t>0x700C</t>
  </si>
  <si>
    <t>Msg_Send_FeedBack</t>
  </si>
  <si>
    <t>DEBUG</t>
  </si>
  <si>
    <t>xx</t>
  </si>
  <si>
    <t>reaction according specification</t>
  </si>
  <si>
    <t>during development</t>
  </si>
  <si>
    <t>Variant MgM</t>
  </si>
  <si>
    <t>0x70FE</t>
  </si>
  <si>
    <t>after Reset, change</t>
  </si>
  <si>
    <t>IABx</t>
  </si>
  <si>
    <t>0x70FB</t>
  </si>
  <si>
    <t>0x70F4</t>
  </si>
  <si>
    <t>0x7100</t>
  </si>
  <si>
    <t>Msg_Get_Info</t>
  </si>
  <si>
    <t xml:space="preserve">Sends 0x07101, 0x07102, 0x07103 </t>
  </si>
  <si>
    <t>0x7101</t>
  </si>
  <si>
    <t>Msg_Send_InfoHw</t>
  </si>
  <si>
    <t>0x7100; 0x7003</t>
  </si>
  <si>
    <t>reports the HW mat. Nr.</t>
  </si>
  <si>
    <t>displays the received Info</t>
  </si>
  <si>
    <t>0x7102</t>
  </si>
  <si>
    <t>Msg_Send_InfoSw</t>
  </si>
  <si>
    <t>reports the SW mat. Nr.  + Version</t>
  </si>
  <si>
    <t>0x7103</t>
  </si>
  <si>
    <t>Msg_Send_InfoParm</t>
  </si>
  <si>
    <t>0x7104</t>
  </si>
  <si>
    <t>Msg_Send_InfoSWSlave</t>
  </si>
  <si>
    <t>0x7105</t>
  </si>
  <si>
    <t>Msg_Send_InfoConfig</t>
  </si>
  <si>
    <t>send the material number</t>
  </si>
  <si>
    <t>0x7110</t>
  </si>
  <si>
    <t>Msg_Get_Dates</t>
  </si>
  <si>
    <t>Sends 0x0711, 0x07112</t>
  </si>
  <si>
    <t>0x7111</t>
  </si>
  <si>
    <t>Msg_Send_ProductionDateHw</t>
  </si>
  <si>
    <t>0x7112</t>
  </si>
  <si>
    <t>Msg_Send_FlashingDateSw</t>
  </si>
  <si>
    <t>0x7114</t>
  </si>
  <si>
    <t>Msg_Send_FlashingDateConfig</t>
  </si>
  <si>
    <t>0x7115</t>
  </si>
  <si>
    <t>Msg_Write_FlashingDateSw</t>
  </si>
  <si>
    <t>stores date and time SW</t>
  </si>
  <si>
    <t>0x7117</t>
  </si>
  <si>
    <t>Msg_Write_FlashingDateConfig</t>
  </si>
  <si>
    <t>stores date and time Parm</t>
  </si>
  <si>
    <t>0x7200</t>
  </si>
  <si>
    <t>0x7201</t>
  </si>
  <si>
    <t>Msg_Set_OperatingMode</t>
  </si>
  <si>
    <t>Oven Control</t>
  </si>
  <si>
    <t>Op</t>
  </si>
  <si>
    <t>every 240" 
change of HM or Temp</t>
  </si>
  <si>
    <t>0x7203</t>
  </si>
  <si>
    <t>Msg_Send_FastPreheatOff</t>
  </si>
  <si>
    <t>change Bit0 in 0x7201</t>
  </si>
  <si>
    <t>0x7206</t>
  </si>
  <si>
    <t>Msg_Send_TempCavity</t>
  </si>
  <si>
    <t>Oven Control, Safety</t>
  </si>
  <si>
    <t>CVT1: every 5,6" 
CVT2; WD: every 4.8"</t>
  </si>
  <si>
    <t>0x7207</t>
  </si>
  <si>
    <t>0x720A</t>
  </si>
  <si>
    <t>Msg_Send_SwitchOff_CPM</t>
  </si>
  <si>
    <t>informs MMB that heating mode is finished</t>
  </si>
  <si>
    <t>0x720B</t>
  </si>
  <si>
    <t>Msg_Msg_Write_POCS</t>
  </si>
  <si>
    <t>Cleaning Modes</t>
  </si>
  <si>
    <t>Pyrolisis Offset Customer Service</t>
  </si>
  <si>
    <t>0x720D</t>
  </si>
  <si>
    <t>Msg_Set_Illumination</t>
  </si>
  <si>
    <t>Illumination Control</t>
  </si>
  <si>
    <t>requires illumination in specific cavity at %</t>
  </si>
  <si>
    <t>0x720E</t>
  </si>
  <si>
    <t>Msg_Set_DoorLatch</t>
  </si>
  <si>
    <t>Door Control</t>
  </si>
  <si>
    <t>0x720F</t>
  </si>
  <si>
    <t>Msg_Send_DoorLatch</t>
  </si>
  <si>
    <t>Msg_Send_EcoCleanRequest</t>
  </si>
  <si>
    <t>requires eh EcoClean</t>
  </si>
  <si>
    <t>0x7211</t>
  </si>
  <si>
    <t>Msg_Send_EcoCleanOK</t>
  </si>
  <si>
    <t>EcoClean run succesfully</t>
  </si>
  <si>
    <t>0x7212</t>
  </si>
  <si>
    <t>Msg_Send_DescalingRequest</t>
  </si>
  <si>
    <t>display corresponding message</t>
  </si>
  <si>
    <t>0x7214</t>
  </si>
  <si>
    <t>Msg_Send_StatusStM</t>
  </si>
  <si>
    <t>Steam Control</t>
  </si>
  <si>
    <t>informs MMB about the current status</t>
  </si>
  <si>
    <t>0x7215</t>
  </si>
  <si>
    <t>Msg_Get_LevelFreshWater</t>
  </si>
  <si>
    <t>Water Control</t>
  </si>
  <si>
    <t>requests the current water level</t>
  </si>
  <si>
    <t>0x7216</t>
  </si>
  <si>
    <t>Msg_Send_StatusCTP</t>
  </si>
  <si>
    <t>Meat Probe Control</t>
  </si>
  <si>
    <t>sends the status of the CTP(s)</t>
  </si>
  <si>
    <t>0x7217</t>
  </si>
  <si>
    <t>Msg_Send_DoorSwitch</t>
  </si>
  <si>
    <t>sends the status of the door switch(es)</t>
  </si>
  <si>
    <t>0x721C</t>
  </si>
  <si>
    <t>Msg_Send_VentingFlapPosition</t>
  </si>
  <si>
    <t>Oven Control, Dishes</t>
  </si>
  <si>
    <t>requires a special position of the venting flap</t>
  </si>
  <si>
    <t>0x721D</t>
  </si>
  <si>
    <t>Msg_Send_ProbeDataCTP</t>
  </si>
  <si>
    <t>0x721E</t>
  </si>
  <si>
    <t>0x7222</t>
  </si>
  <si>
    <t>Msg_Send_PowerMaxMin</t>
  </si>
  <si>
    <t>Power MgM, SmartHome</t>
  </si>
  <si>
    <t>according spec</t>
  </si>
  <si>
    <t>valid also for the WD</t>
  </si>
  <si>
    <t>0x7223</t>
  </si>
  <si>
    <t>Msg_Send_PowerAverage</t>
  </si>
  <si>
    <t>sends the average power calculation</t>
  </si>
  <si>
    <t>0x7224</t>
  </si>
  <si>
    <t>initialize the detecting time for the long button</t>
  </si>
  <si>
    <t>0x7225</t>
  </si>
  <si>
    <t>0x7226</t>
  </si>
  <si>
    <t>Msg_Send_DescalingOK</t>
  </si>
  <si>
    <t>informs that descaling was performed</t>
  </si>
  <si>
    <t>0x7229</t>
  </si>
  <si>
    <t>Msg_Send_SteamCalibrationReset</t>
  </si>
  <si>
    <t>"Restore Factory Settings"</t>
  </si>
  <si>
    <t>0x722C</t>
  </si>
  <si>
    <t>Msg_Send_LevelFreshWater</t>
  </si>
  <si>
    <t>KNB</t>
  </si>
  <si>
    <t>every 35"</t>
  </si>
  <si>
    <t>in case of no ACK reation acc comm rules</t>
  </si>
  <si>
    <t>Msg_Send_AliveCheckMMB1</t>
  </si>
  <si>
    <t>send ACK</t>
  </si>
  <si>
    <t>Msg_Send_AliveCheckMMB2</t>
  </si>
  <si>
    <t>0x7301</t>
  </si>
  <si>
    <t>Msg_Set_ModuleReset</t>
  </si>
  <si>
    <t>perform SW Reset</t>
  </si>
  <si>
    <t>0x7302</t>
  </si>
  <si>
    <t>Msg_Set_IABTestActivation</t>
  </si>
  <si>
    <t>activate the button test after entering Production Mode</t>
  </si>
  <si>
    <t>0x7303</t>
  </si>
  <si>
    <t>Msg_Set_IABTestBits</t>
  </si>
  <si>
    <t>informs about buttons pressed</t>
  </si>
  <si>
    <t>0x7304</t>
  </si>
  <si>
    <t>Msg_Write_Language</t>
  </si>
  <si>
    <t>change the language</t>
  </si>
  <si>
    <t>0x7305</t>
  </si>
  <si>
    <t>Msg_Set_FactorySettingReset</t>
  </si>
  <si>
    <t>reset setting to factory settings</t>
  </si>
  <si>
    <t>0x7310</t>
  </si>
  <si>
    <t>Msg_Set_ErrorStatisticReset</t>
  </si>
  <si>
    <t>clear the error counter and error statistics</t>
  </si>
  <si>
    <t>0x7317</t>
  </si>
  <si>
    <t>Msg_Get_TestStatusMMB</t>
  </si>
  <si>
    <t>send 0x7318 - the current button test status</t>
  </si>
  <si>
    <t>0x7318</t>
  </si>
  <si>
    <t>Msg_Send_TestStatusMMB</t>
  </si>
  <si>
    <t>send the current button test status</t>
  </si>
  <si>
    <t>0x7319</t>
  </si>
  <si>
    <t>Msg_Get_ErrorStatus</t>
  </si>
  <si>
    <t>sends Msg_Send_ErrorRuntime</t>
  </si>
  <si>
    <t>sends the current Error Code to the PC</t>
  </si>
  <si>
    <t>0x7400</t>
  </si>
  <si>
    <t>Msg_Set_RelayActionCPM_CS</t>
  </si>
  <si>
    <t>switch on/off requested outputs</t>
  </si>
  <si>
    <t>0x7401</t>
  </si>
  <si>
    <t>Msg_Set_ModuleReset_CS</t>
  </si>
  <si>
    <t>Execute full software reset</t>
  </si>
  <si>
    <t>0x7402</t>
  </si>
  <si>
    <t>0x7403</t>
  </si>
  <si>
    <t>0x7404</t>
  </si>
  <si>
    <t>Msg_Send_ErrorStatisticCPM_CS</t>
  </si>
  <si>
    <t>0x7406</t>
  </si>
  <si>
    <t>one message for each error code</t>
  </si>
  <si>
    <t>0x7405</t>
  </si>
  <si>
    <t>Msg_Send_TempPT500CPM_CS</t>
  </si>
  <si>
    <t>Msg_Get_ErrorStatisticCPM_CS</t>
  </si>
  <si>
    <t>0x7404 Msg_Send_ErrorStatisticCPM_CS</t>
  </si>
  <si>
    <t>(arg = cavity)</t>
  </si>
  <si>
    <t>0x7407</t>
  </si>
  <si>
    <t>Msg_Get_ErrorStatisticStM_CS</t>
  </si>
  <si>
    <t>0x7408</t>
  </si>
  <si>
    <t>Msg_Send_ErrorStatisticStM_CS</t>
  </si>
  <si>
    <t>0x740B</t>
  </si>
  <si>
    <t>Msg_Get_LastErrorsCPM_CS</t>
  </si>
  <si>
    <t>0x740C Msg_Send_LastErrorsCPM_CS</t>
  </si>
  <si>
    <t>Request to send the failure history (last 4)</t>
  </si>
  <si>
    <t>0x740C</t>
  </si>
  <si>
    <t>Msg_Send_LastErrorsCPM_CS</t>
  </si>
  <si>
    <t>(probably not stored by cavity)</t>
  </si>
  <si>
    <t>0x740F</t>
  </si>
  <si>
    <t>Msg_Send_DoorLatch_CS</t>
  </si>
  <si>
    <t>sends the status of the door latch</t>
  </si>
  <si>
    <t>0x7410</t>
  </si>
  <si>
    <t>Msg_Set_ErrorStatisticReset_CS</t>
  </si>
  <si>
    <t>0x7412</t>
  </si>
  <si>
    <t>Msg_Set_SteamCalibration_CS</t>
  </si>
  <si>
    <t>0x7416</t>
  </si>
  <si>
    <t>Msg_Send_StatusCTP_CS</t>
  </si>
  <si>
    <t xml:space="preserve">status of CTP </t>
  </si>
  <si>
    <t>0x7417</t>
  </si>
  <si>
    <t>Msg_Send_DoorSwitch_CS</t>
  </si>
  <si>
    <t>0x741A</t>
  </si>
  <si>
    <t>Msg_Get_DescalingCounter_CS</t>
  </si>
  <si>
    <t>0x741B</t>
  </si>
  <si>
    <t>Msg_Send_DescalingCounter_CS</t>
  </si>
  <si>
    <t>0x741C</t>
  </si>
  <si>
    <t>Msg_Set_DescalingCounterReset_CS</t>
  </si>
  <si>
    <t>0x741D</t>
  </si>
  <si>
    <t>Msg_Send_ProbeDataCTP_CS</t>
  </si>
  <si>
    <t>0x741F</t>
  </si>
  <si>
    <t>Msg_Get_LastErrorStM_CS</t>
  </si>
  <si>
    <t>0x7420</t>
  </si>
  <si>
    <t>Msg_Send_LastErrorStM_CS</t>
  </si>
  <si>
    <t>0x742C</t>
  </si>
  <si>
    <t>Msg_Send_LevelFreshWater_CS</t>
  </si>
  <si>
    <t>0x742D</t>
  </si>
  <si>
    <t>Msg_Send_SteamCalibration_CS</t>
  </si>
  <si>
    <t>0x742E</t>
  </si>
  <si>
    <t>Msg_Send_AliveCheckKnB_CS</t>
  </si>
  <si>
    <t>0x742F</t>
  </si>
  <si>
    <t>every 31"</t>
  </si>
  <si>
    <t>0x7430</t>
  </si>
  <si>
    <t>every 33"</t>
  </si>
  <si>
    <t>0x7431</t>
  </si>
  <si>
    <t>Msg_Set_RelayActionStM_CS</t>
  </si>
  <si>
    <t>0x7432</t>
  </si>
  <si>
    <t>Msg_Get_EcoCleanCounter_CS</t>
  </si>
  <si>
    <t>0x7433</t>
  </si>
  <si>
    <t>Msg_Send_EcoCleanCounter_CS</t>
  </si>
  <si>
    <t>0x7434</t>
  </si>
  <si>
    <t>Msg_Set_StartTouchCalibration_CS</t>
  </si>
  <si>
    <t>0x7435</t>
  </si>
  <si>
    <t>Msg_Get_EcoCleanCounterDelete</t>
  </si>
  <si>
    <t>OLD ID</t>
  </si>
  <si>
    <t>NEW ID</t>
  </si>
  <si>
    <t>0x70xx</t>
  </si>
  <si>
    <t>0x70FF</t>
  </si>
  <si>
    <t>Msg_Write_ModuleCodeCPM</t>
  </si>
  <si>
    <t>Msg_Write_ConfigurationCodeCPM</t>
  </si>
  <si>
    <t>0x7106</t>
  </si>
  <si>
    <t>Msg_Send_InfoSw_PEC</t>
  </si>
  <si>
    <t>SMM</t>
  </si>
  <si>
    <t>SMM2</t>
  </si>
  <si>
    <t>NEW</t>
  </si>
  <si>
    <t>Msg_Send_InitializingDone</t>
  </si>
  <si>
    <t>Param: Address of Sending Module</t>
  </si>
  <si>
    <t>Msg_Send_ForcedRinsingRequest</t>
  </si>
  <si>
    <t>Msg_Send_ForcedRinsingOK</t>
  </si>
  <si>
    <t>0x7208</t>
  </si>
  <si>
    <t>Oven Control, Steam</t>
  </si>
  <si>
    <t>0x00 = unlocked/0x01 = locked/0xFF = see spec</t>
  </si>
  <si>
    <t>0x7210</t>
  </si>
  <si>
    <t>Msg_Send_SynchingUpReadyIPM</t>
  </si>
  <si>
    <t>IPM Control</t>
  </si>
  <si>
    <t>Msg_Send_StatusSteamShotStM</t>
  </si>
  <si>
    <t>Msg_Send_StatusOxygenControlStM</t>
  </si>
  <si>
    <t>0x7227</t>
  </si>
  <si>
    <t>Msg_Write_DescalingProcessDuration</t>
  </si>
  <si>
    <t>Draining</t>
  </si>
  <si>
    <t>Wartungsschlauch anschließen. Gefäss mit mindestens 2l in den Garraum stellen und Schlauch im Gefäss platzieren. Starten.</t>
  </si>
  <si>
    <t>Wartungsschlauch entfernen und Gefäss aus dem Gerät entnehmen.</t>
  </si>
  <si>
    <t>Gefäss leeren. Xx ml Enkalkerflüssigkeit und xx ml Wasser in das Gefäss füllen. Schauch in das Gefäss platzieren.</t>
  </si>
  <si>
    <t>Wählen Sie Spülen und folgen Sie den Anweisungen.</t>
  </si>
  <si>
    <t>0.5</t>
  </si>
  <si>
    <t>AS + MW</t>
  </si>
  <si>
    <t>CVT + MW</t>
  </si>
  <si>
    <t>Overheated Steam</t>
  </si>
  <si>
    <t>decimal</t>
  </si>
  <si>
    <t>Date</t>
  </si>
  <si>
    <t>Wingert</t>
  </si>
  <si>
    <t>Added Heating Mode "Overheated Steam"</t>
  </si>
  <si>
    <t>Worksheet</t>
  </si>
  <si>
    <t xml:space="preserve"> FS ; FS_FWS</t>
  </si>
  <si>
    <t>Doc Version</t>
  </si>
  <si>
    <t>Modified by</t>
  </si>
  <si>
    <t>Done</t>
  </si>
  <si>
    <t>Added for the Descale Steps FWS</t>
  </si>
  <si>
    <t>Rosner</t>
  </si>
  <si>
    <t>CVT+MW; AS+MW; CVT_LE</t>
  </si>
  <si>
    <t>Change value of Opeating_Mode_Type from "+MW" to "Microwave"</t>
  </si>
  <si>
    <t>Rom</t>
  </si>
  <si>
    <t>VNS1</t>
  </si>
  <si>
    <t>Added demo oven in rbg to get module and config code</t>
  </si>
  <si>
    <t>Changed value clas entries "AV" to "AV1"</t>
  </si>
  <si>
    <t>Config Codes korrigiert</t>
  </si>
  <si>
    <t>NHT</t>
  </si>
  <si>
    <t>Reduced PC</t>
  </si>
  <si>
    <t>Accessories Grilling</t>
  </si>
  <si>
    <t>Water Level Sensor</t>
  </si>
  <si>
    <t>X6021R073A</t>
  </si>
  <si>
    <t>X6021R131A</t>
  </si>
  <si>
    <t>X6021R353A</t>
  </si>
  <si>
    <t xml:space="preserve"> </t>
  </si>
  <si>
    <t>X6021R319B</t>
  </si>
  <si>
    <t>X6021R312B</t>
  </si>
  <si>
    <t>X6021R270B</t>
  </si>
  <si>
    <t>X6021R189B</t>
  </si>
  <si>
    <t>Bosch Gerät mit SE AV2 Blende</t>
  </si>
  <si>
    <t>Neff Gerät mit SE AV2 Blende</t>
  </si>
  <si>
    <t>Changed Bosch and Neff devices</t>
  </si>
  <si>
    <t>CVT, AS, FS, FS:FWS, PS</t>
  </si>
  <si>
    <t>removed Added MW option</t>
  </si>
  <si>
    <t>Modified TestOven_RBG</t>
  </si>
  <si>
    <t>Testgerät in Regensburg</t>
  </si>
  <si>
    <t>Corrected Bit Steam in the module Codes</t>
  </si>
  <si>
    <t>HM Tables with Steam</t>
  </si>
  <si>
    <t>Added Draining to all Steam appliances</t>
  </si>
  <si>
    <t>ZZZTestOven_RBG_AV1</t>
  </si>
  <si>
    <t>ZZZTestOven_RBG_AV2</t>
  </si>
  <si>
    <t>ZZZTestOven_RBG_P</t>
  </si>
  <si>
    <t>HM tables mit MW</t>
  </si>
  <si>
    <t>Maximum Microwave Power changed to 1000W</t>
  </si>
  <si>
    <t>Herbst</t>
  </si>
  <si>
    <t>Venting Flap Bit angepasst</t>
  </si>
  <si>
    <t>HM tables mit Microwave Solo</t>
  </si>
  <si>
    <t>Stepsize bei Microwave Solo von 30 auf 10 gesetzt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</si>
</sst>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double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indexed="64"/>
      </bottom>
      <diagonal/>
    </border>
    <border>
      <left/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2" fillId="0" borderId="0"/>
    <xf numFmtId="0" fontId="12" fillId="0" borderId="0"/>
  </cellStyleXfs>
  <cellXfs count="323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1" fillId="0" borderId="10" xfId="4" applyFont="1" applyFill="1" applyBorder="1"/>
    <xf numFmtId="0" fontId="1" fillId="0" borderId="32" xfId="4" quotePrefix="1" applyBorder="1" applyAlignment="1">
      <alignment horizontal="center" vertical="center"/>
    </xf>
    <xf numFmtId="0" fontId="1" fillId="0" borderId="32" xfId="4" quotePrefix="1" applyFill="1" applyBorder="1" applyAlignment="1">
      <alignment horizontal="center" vertical="center"/>
    </xf>
    <xf numFmtId="0" fontId="1" fillId="0" borderId="36" xfId="4" quotePrefix="1" applyFill="1" applyBorder="1" applyAlignment="1">
      <alignment horizontal="center" vertical="center"/>
    </xf>
    <xf numFmtId="0" fontId="12" fillId="0" borderId="32" xfId="4" quotePrefix="1" applyFont="1" applyBorder="1" applyAlignment="1">
      <alignment horizontal="center" vertical="center"/>
    </xf>
    <xf numFmtId="0" fontId="1" fillId="0" borderId="0" xfId="4" applyAlignment="1">
      <alignment vertical="center"/>
    </xf>
    <xf numFmtId="0" fontId="1" fillId="0" borderId="0" xfId="1" applyFill="1"/>
    <xf numFmtId="0" fontId="9" fillId="3" borderId="0" xfId="2" applyFont="1" applyFill="1"/>
    <xf numFmtId="0" fontId="10" fillId="3" borderId="0" xfId="2" applyFont="1" applyFill="1"/>
    <xf numFmtId="0" fontId="5" fillId="0" borderId="0" xfId="2"/>
    <xf numFmtId="0" fontId="4" fillId="5" borderId="1" xfId="2" applyFont="1" applyFill="1" applyBorder="1" applyAlignment="1"/>
    <xf numFmtId="0" fontId="4" fillId="5" borderId="2" xfId="2" applyFont="1" applyFill="1" applyBorder="1" applyAlignment="1"/>
    <xf numFmtId="0" fontId="5" fillId="0" borderId="0" xfId="2" applyFill="1" applyBorder="1" applyAlignment="1"/>
    <xf numFmtId="0" fontId="5" fillId="0" borderId="8" xfId="2" applyFill="1" applyBorder="1" applyAlignment="1">
      <alignment horizontal="center"/>
    </xf>
    <xf numFmtId="0" fontId="5" fillId="0" borderId="9" xfId="2" applyFill="1" applyBorder="1" applyAlignment="1">
      <alignment horizontal="center"/>
    </xf>
    <xf numFmtId="0" fontId="5" fillId="0" borderId="15" xfId="2" applyFill="1" applyBorder="1" applyAlignment="1">
      <alignment horizontal="center"/>
    </xf>
    <xf numFmtId="0" fontId="2" fillId="0" borderId="9" xfId="2" applyFont="1" applyFill="1" applyBorder="1" applyAlignment="1">
      <alignment horizontal="center"/>
    </xf>
    <xf numFmtId="0" fontId="5" fillId="0" borderId="16" xfId="2" applyFill="1" applyBorder="1" applyAlignment="1">
      <alignment horizontal="center"/>
    </xf>
    <xf numFmtId="0" fontId="5" fillId="0" borderId="0" xfId="2" applyFill="1" applyBorder="1" applyAlignment="1">
      <alignment horizontal="center"/>
    </xf>
    <xf numFmtId="0" fontId="4" fillId="4" borderId="3" xfId="2" applyFont="1" applyFill="1" applyBorder="1"/>
    <xf numFmtId="0" fontId="4" fillId="4" borderId="4" xfId="2" applyFont="1" applyFill="1" applyBorder="1"/>
    <xf numFmtId="0" fontId="4" fillId="4" borderId="14" xfId="2" applyFont="1" applyFill="1" applyBorder="1"/>
    <xf numFmtId="0" fontId="13" fillId="6" borderId="4" xfId="2" applyFont="1" applyFill="1" applyBorder="1" applyAlignment="1">
      <alignment horizontal="center" textRotation="90" wrapText="1"/>
    </xf>
    <xf numFmtId="0" fontId="13" fillId="6" borderId="3" xfId="2" applyFont="1" applyFill="1" applyBorder="1" applyAlignment="1">
      <alignment horizontal="center" textRotation="90" wrapText="1"/>
    </xf>
    <xf numFmtId="0" fontId="13" fillId="6" borderId="14" xfId="2" applyFont="1" applyFill="1" applyBorder="1" applyAlignment="1">
      <alignment horizontal="center" textRotation="90" wrapText="1"/>
    </xf>
    <xf numFmtId="0" fontId="14" fillId="6" borderId="4" xfId="2" applyFont="1" applyFill="1" applyBorder="1" applyAlignment="1">
      <alignment horizontal="center" textRotation="90" wrapText="1"/>
    </xf>
    <xf numFmtId="0" fontId="4" fillId="5" borderId="3" xfId="2" applyFont="1" applyFill="1" applyBorder="1"/>
    <xf numFmtId="0" fontId="4" fillId="5" borderId="4" xfId="2" applyFont="1" applyFill="1" applyBorder="1"/>
    <xf numFmtId="0" fontId="14" fillId="7" borderId="17" xfId="2" quotePrefix="1" applyFont="1" applyFill="1" applyBorder="1" applyAlignment="1">
      <alignment horizontal="center" textRotation="90" wrapText="1"/>
    </xf>
    <xf numFmtId="0" fontId="13" fillId="7" borderId="4" xfId="2" applyFont="1" applyFill="1" applyBorder="1" applyAlignment="1">
      <alignment horizontal="center" textRotation="90" wrapText="1"/>
    </xf>
    <xf numFmtId="0" fontId="14" fillId="7" borderId="4" xfId="2" quotePrefix="1" applyFont="1" applyFill="1" applyBorder="1" applyAlignment="1">
      <alignment horizontal="center" textRotation="90" wrapText="1"/>
    </xf>
    <xf numFmtId="0" fontId="14" fillId="7" borderId="14" xfId="2" quotePrefix="1" applyFont="1" applyFill="1" applyBorder="1" applyAlignment="1">
      <alignment horizontal="center" textRotation="90" wrapText="1"/>
    </xf>
    <xf numFmtId="0" fontId="13" fillId="7" borderId="14" xfId="2" applyFont="1" applyFill="1" applyBorder="1" applyAlignment="1">
      <alignment horizontal="center" textRotation="90" wrapText="1"/>
    </xf>
    <xf numFmtId="0" fontId="5" fillId="0" borderId="6" xfId="2" applyBorder="1" applyAlignment="1">
      <alignment vertical="center"/>
    </xf>
    <xf numFmtId="0" fontId="5" fillId="0" borderId="7" xfId="2" applyBorder="1" applyAlignment="1">
      <alignment vertical="center"/>
    </xf>
    <xf numFmtId="0" fontId="5" fillId="0" borderId="33" xfId="2" applyBorder="1" applyAlignment="1">
      <alignment vertical="center"/>
    </xf>
    <xf numFmtId="0" fontId="15" fillId="0" borderId="32" xfId="2" applyFont="1" applyFill="1" applyBorder="1" applyAlignment="1">
      <alignment horizontal="center" vertical="center"/>
    </xf>
    <xf numFmtId="0" fontId="15" fillId="9" borderId="32" xfId="2" applyFont="1" applyFill="1" applyBorder="1" applyAlignment="1">
      <alignment horizontal="center" vertical="center"/>
    </xf>
    <xf numFmtId="0" fontId="15" fillId="0" borderId="37" xfId="2" applyFont="1" applyFill="1" applyBorder="1" applyAlignment="1">
      <alignment horizontal="center" vertical="center"/>
    </xf>
    <xf numFmtId="0" fontId="15" fillId="9" borderId="36" xfId="2" applyFont="1" applyFill="1" applyBorder="1" applyAlignment="1">
      <alignment horizontal="center" vertical="center"/>
    </xf>
    <xf numFmtId="0" fontId="15" fillId="9" borderId="38" xfId="2" applyFont="1" applyFill="1" applyBorder="1" applyAlignment="1">
      <alignment horizontal="center" vertical="center"/>
    </xf>
    <xf numFmtId="0" fontId="15" fillId="9" borderId="34" xfId="2" applyFont="1" applyFill="1" applyBorder="1" applyAlignment="1">
      <alignment horizontal="center" vertical="center"/>
    </xf>
    <xf numFmtId="0" fontId="15" fillId="9" borderId="32" xfId="2" quotePrefix="1" applyFont="1" applyFill="1" applyBorder="1" applyAlignment="1">
      <alignment horizontal="center" vertical="center"/>
    </xf>
    <xf numFmtId="0" fontId="5" fillId="9" borderId="36" xfId="2" applyFill="1" applyBorder="1" applyAlignment="1">
      <alignment horizontal="center" vertical="center"/>
    </xf>
    <xf numFmtId="0" fontId="5" fillId="9" borderId="34" xfId="2" applyFill="1" applyBorder="1" applyAlignment="1">
      <alignment horizontal="center" vertical="center"/>
    </xf>
    <xf numFmtId="0" fontId="5" fillId="9" borderId="32" xfId="2" applyFill="1" applyBorder="1" applyAlignment="1">
      <alignment horizontal="center" vertical="center"/>
    </xf>
    <xf numFmtId="0" fontId="5" fillId="9" borderId="38" xfId="2" applyFill="1" applyBorder="1" applyAlignment="1">
      <alignment horizontal="center" vertical="center"/>
    </xf>
    <xf numFmtId="0" fontId="12" fillId="0" borderId="0" xfId="2" applyFont="1"/>
    <xf numFmtId="0" fontId="5" fillId="0" borderId="36" xfId="2" applyBorder="1" applyAlignment="1">
      <alignment vertical="center"/>
    </xf>
    <xf numFmtId="0" fontId="5" fillId="0" borderId="37" xfId="2" applyBorder="1" applyAlignment="1">
      <alignment vertical="center"/>
    </xf>
    <xf numFmtId="0" fontId="15" fillId="0" borderId="32" xfId="2" applyFont="1" applyBorder="1" applyAlignment="1">
      <alignment horizontal="center" vertical="center"/>
    </xf>
    <xf numFmtId="0" fontId="15" fillId="0" borderId="35" xfId="2" applyFont="1" applyBorder="1" applyAlignment="1">
      <alignment horizontal="center" vertical="center"/>
    </xf>
    <xf numFmtId="0" fontId="15" fillId="0" borderId="36" xfId="2" quotePrefix="1" applyFont="1" applyBorder="1" applyAlignment="1">
      <alignment horizontal="center" vertical="center"/>
    </xf>
    <xf numFmtId="0" fontId="15" fillId="0" borderId="32" xfId="2" quotePrefix="1" applyFont="1" applyBorder="1" applyAlignment="1">
      <alignment horizontal="center" vertical="center"/>
    </xf>
    <xf numFmtId="0" fontId="15" fillId="9" borderId="37" xfId="2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3" fillId="6" borderId="20" xfId="2" applyFont="1" applyFill="1" applyBorder="1" applyAlignment="1">
      <alignment horizontal="center" vertical="center" textRotation="90" wrapText="1"/>
    </xf>
    <xf numFmtId="0" fontId="13" fillId="6" borderId="19" xfId="2" applyFont="1" applyFill="1" applyBorder="1" applyAlignment="1">
      <alignment horizontal="center" vertical="center" textRotation="90" wrapText="1"/>
    </xf>
    <xf numFmtId="0" fontId="5" fillId="0" borderId="18" xfId="2" applyFill="1" applyBorder="1" applyAlignment="1">
      <alignment vertical="center"/>
    </xf>
    <xf numFmtId="0" fontId="13" fillId="5" borderId="8" xfId="2" applyFont="1" applyFill="1" applyBorder="1" applyAlignment="1">
      <alignment horizontal="center" vertical="center" textRotation="90" wrapText="1"/>
    </xf>
    <xf numFmtId="0" fontId="13" fillId="5" borderId="9" xfId="2" applyFont="1" applyFill="1" applyBorder="1" applyAlignment="1">
      <alignment horizontal="center" vertical="center" textRotation="90" wrapText="1"/>
    </xf>
    <xf numFmtId="0" fontId="14" fillId="7" borderId="27" xfId="2" applyFont="1" applyFill="1" applyBorder="1" applyAlignment="1">
      <alignment horizontal="center" vertical="center" textRotation="90" wrapText="1"/>
    </xf>
    <xf numFmtId="0" fontId="13" fillId="7" borderId="9" xfId="2" applyFont="1" applyFill="1" applyBorder="1" applyAlignment="1">
      <alignment horizontal="center" vertical="center" textRotation="90" wrapText="1"/>
    </xf>
    <xf numFmtId="0" fontId="14" fillId="7" borderId="29" xfId="2" applyFont="1" applyFill="1" applyBorder="1" applyAlignment="1">
      <alignment horizontal="center" vertical="center" textRotation="90" wrapText="1"/>
    </xf>
    <xf numFmtId="0" fontId="13" fillId="4" borderId="19" xfId="2" applyFont="1" applyFill="1" applyBorder="1" applyAlignment="1">
      <alignment horizontal="center" vertical="center" textRotation="90" wrapText="1"/>
    </xf>
    <xf numFmtId="0" fontId="13" fillId="4" borderId="20" xfId="2" applyFont="1" applyFill="1" applyBorder="1" applyAlignment="1">
      <alignment horizontal="center" vertical="center" textRotation="90" wrapText="1"/>
    </xf>
    <xf numFmtId="0" fontId="13" fillId="4" borderId="21" xfId="2" applyFont="1" applyFill="1" applyBorder="1" applyAlignment="1">
      <alignment horizontal="center" vertical="center" textRotation="90" wrapText="1"/>
    </xf>
    <xf numFmtId="0" fontId="16" fillId="0" borderId="0" xfId="5" applyFont="1" applyFill="1" applyBorder="1" applyAlignment="1">
      <alignment horizontal="left" vertical="center" wrapText="1"/>
    </xf>
    <xf numFmtId="0" fontId="5" fillId="0" borderId="0" xfId="2" applyAlignment="1">
      <alignment horizontal="center" vertical="center"/>
    </xf>
    <xf numFmtId="0" fontId="8" fillId="0" borderId="0" xfId="2" applyFont="1" applyAlignment="1">
      <alignment horizontal="left"/>
    </xf>
    <xf numFmtId="0" fontId="16" fillId="0" borderId="0" xfId="6" applyFont="1" applyAlignment="1">
      <alignment horizontal="left" vertical="center" wrapText="1"/>
    </xf>
    <xf numFmtId="0" fontId="5" fillId="0" borderId="0" xfId="2" applyAlignment="1">
      <alignment horizontal="left"/>
    </xf>
    <xf numFmtId="0" fontId="16" fillId="0" borderId="39" xfId="5" applyFont="1" applyFill="1" applyBorder="1" applyAlignment="1">
      <alignment horizontal="left" vertical="center" wrapText="1"/>
    </xf>
    <xf numFmtId="0" fontId="16" fillId="0" borderId="41" xfId="5" applyFont="1" applyFill="1" applyBorder="1" applyAlignment="1">
      <alignment horizontal="left" vertical="center" wrapText="1"/>
    </xf>
    <xf numFmtId="0" fontId="17" fillId="0" borderId="43" xfId="2" applyFont="1" applyBorder="1"/>
    <xf numFmtId="0" fontId="18" fillId="0" borderId="44" xfId="2" applyFont="1" applyBorder="1" applyAlignment="1">
      <alignment horizontal="left" vertical="center" wrapText="1"/>
    </xf>
    <xf numFmtId="0" fontId="17" fillId="0" borderId="44" xfId="2" applyFont="1" applyBorder="1" applyAlignment="1">
      <alignment horizontal="left"/>
    </xf>
    <xf numFmtId="0" fontId="17" fillId="0" borderId="45" xfId="2" applyFont="1" applyBorder="1" applyAlignment="1">
      <alignment horizontal="center" vertical="center"/>
    </xf>
    <xf numFmtId="0" fontId="5" fillId="0" borderId="40" xfId="2" applyBorder="1" applyAlignment="1">
      <alignment horizontal="center" vertical="center"/>
    </xf>
    <xf numFmtId="0" fontId="12" fillId="0" borderId="42" xfId="2" applyFont="1" applyFill="1" applyBorder="1" applyAlignment="1">
      <alignment horizontal="center" vertical="center" wrapText="1"/>
    </xf>
    <xf numFmtId="0" fontId="0" fillId="0" borderId="0" xfId="0" applyFont="1"/>
    <xf numFmtId="0" fontId="12" fillId="10" borderId="32" xfId="4" quotePrefix="1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quotePrefix="1"/>
    <xf numFmtId="49" fontId="0" fillId="0" borderId="0" xfId="0" quotePrefix="1" applyNumberFormat="1"/>
    <xf numFmtId="0" fontId="16" fillId="0" borderId="46" xfId="5" applyFont="1" applyFill="1" applyBorder="1" applyAlignment="1">
      <alignment horizontal="left" vertical="center" wrapText="1"/>
    </xf>
    <xf numFmtId="0" fontId="5" fillId="0" borderId="47" xfId="2" applyBorder="1" applyAlignment="1">
      <alignment horizontal="center" vertical="center"/>
    </xf>
    <xf numFmtId="0" fontId="16" fillId="0" borderId="48" xfId="5" applyFont="1" applyFill="1" applyBorder="1" applyAlignment="1">
      <alignment horizontal="left" vertical="center" wrapText="1"/>
    </xf>
    <xf numFmtId="0" fontId="5" fillId="0" borderId="49" xfId="2" applyBorder="1" applyAlignment="1">
      <alignment horizontal="center" vertical="center"/>
    </xf>
    <xf numFmtId="0" fontId="16" fillId="0" borderId="50" xfId="2" applyFont="1" applyBorder="1" applyAlignment="1">
      <alignment horizontal="left" vertical="center" wrapText="1"/>
    </xf>
    <xf numFmtId="0" fontId="16" fillId="0" borderId="51" xfId="2" applyFont="1" applyBorder="1" applyAlignment="1">
      <alignment horizontal="left" vertical="center" wrapText="1"/>
    </xf>
    <xf numFmtId="0" fontId="16" fillId="0" borderId="52" xfId="5" applyFont="1" applyFill="1" applyBorder="1" applyAlignment="1">
      <alignment horizontal="left" vertical="center" wrapText="1"/>
    </xf>
    <xf numFmtId="0" fontId="16" fillId="0" borderId="52" xfId="2" applyFont="1" applyBorder="1" applyAlignment="1">
      <alignment horizontal="left" vertical="center" wrapText="1"/>
    </xf>
    <xf numFmtId="0" fontId="16" fillId="0" borderId="53" xfId="5" applyFont="1" applyFill="1" applyBorder="1" applyAlignment="1">
      <alignment horizontal="left" vertical="center" wrapText="1"/>
    </xf>
    <xf numFmtId="0" fontId="6" fillId="0" borderId="54" xfId="2" applyFont="1" applyFill="1" applyBorder="1" applyAlignment="1">
      <alignment horizontal="left" vertical="center" wrapText="1"/>
    </xf>
    <xf numFmtId="0" fontId="6" fillId="0" borderId="55" xfId="0" applyFont="1" applyFill="1" applyBorder="1" applyAlignment="1">
      <alignment horizontal="left" vertical="center" wrapText="1"/>
    </xf>
    <xf numFmtId="0" fontId="6" fillId="0" borderId="56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13" fillId="7" borderId="29" xfId="2" applyFont="1" applyFill="1" applyBorder="1" applyAlignment="1">
      <alignment horizontal="center" vertical="center" textRotation="90" wrapText="1"/>
    </xf>
    <xf numFmtId="0" fontId="13" fillId="6" borderId="17" xfId="2" applyFont="1" applyFill="1" applyBorder="1" applyAlignment="1">
      <alignment horizontal="center" textRotation="90" wrapText="1"/>
    </xf>
    <xf numFmtId="0" fontId="13" fillId="7" borderId="27" xfId="2" applyFont="1" applyFill="1" applyBorder="1" applyAlignment="1">
      <alignment horizontal="center" vertical="center" textRotation="90" wrapText="1"/>
    </xf>
    <xf numFmtId="0" fontId="13" fillId="7" borderId="17" xfId="2" applyFont="1" applyFill="1" applyBorder="1" applyAlignment="1">
      <alignment horizontal="center" textRotation="90" wrapText="1"/>
    </xf>
    <xf numFmtId="0" fontId="13" fillId="6" borderId="22" xfId="2" applyFont="1" applyFill="1" applyBorder="1" applyAlignment="1">
      <alignment horizontal="center" vertical="center" textRotation="90" wrapText="1"/>
    </xf>
    <xf numFmtId="0" fontId="13" fillId="6" borderId="25" xfId="2" applyFont="1" applyFill="1" applyBorder="1" applyAlignment="1">
      <alignment horizontal="center" vertical="center" textRotation="90" wrapText="1"/>
    </xf>
    <xf numFmtId="0" fontId="22" fillId="0" borderId="0" xfId="0" applyFont="1"/>
    <xf numFmtId="0" fontId="0" fillId="0" borderId="57" xfId="0" applyFont="1" applyFill="1" applyBorder="1"/>
    <xf numFmtId="0" fontId="0" fillId="2" borderId="57" xfId="0" applyFont="1" applyFill="1" applyBorder="1"/>
    <xf numFmtId="0" fontId="0" fillId="2" borderId="31" xfId="0" applyFont="1" applyFill="1" applyBorder="1"/>
    <xf numFmtId="0" fontId="0" fillId="0" borderId="58" xfId="0" applyFont="1" applyBorder="1" applyAlignment="1">
      <alignment horizontal="center" vertical="top" wrapText="1"/>
    </xf>
    <xf numFmtId="0" fontId="0" fillId="0" borderId="48" xfId="0" applyFont="1" applyBorder="1" applyAlignment="1">
      <alignment horizontal="center" vertical="top"/>
    </xf>
    <xf numFmtId="0" fontId="0" fillId="12" borderId="48" xfId="0" applyFont="1" applyFill="1" applyBorder="1" applyAlignment="1">
      <alignment horizontal="center" vertical="top" wrapText="1"/>
    </xf>
    <xf numFmtId="0" fontId="0" fillId="12" borderId="48" xfId="0" applyFont="1" applyFill="1" applyBorder="1" applyAlignment="1">
      <alignment horizontal="center" vertical="top"/>
    </xf>
    <xf numFmtId="0" fontId="0" fillId="13" borderId="48" xfId="0" applyFont="1" applyFill="1" applyBorder="1" applyAlignment="1">
      <alignment horizontal="center" vertical="top" wrapText="1"/>
    </xf>
    <xf numFmtId="0" fontId="0" fillId="8" borderId="48" xfId="0" applyFont="1" applyFill="1" applyBorder="1" applyAlignment="1">
      <alignment horizontal="center" vertical="top" wrapText="1"/>
    </xf>
    <xf numFmtId="0" fontId="0" fillId="11" borderId="48" xfId="0" applyFont="1" applyFill="1" applyBorder="1" applyAlignment="1">
      <alignment horizontal="center" vertical="top" wrapText="1"/>
    </xf>
    <xf numFmtId="0" fontId="0" fillId="0" borderId="60" xfId="0" applyFont="1" applyFill="1" applyBorder="1"/>
    <xf numFmtId="0" fontId="0" fillId="0" borderId="61" xfId="0" applyFont="1" applyFill="1" applyBorder="1"/>
    <xf numFmtId="0" fontId="0" fillId="0" borderId="61" xfId="0" applyFont="1" applyFill="1" applyBorder="1" applyAlignment="1">
      <alignment horizontal="center" vertical="center" wrapText="1"/>
    </xf>
    <xf numFmtId="49" fontId="12" fillId="0" borderId="61" xfId="0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63" xfId="0" applyFont="1" applyFill="1" applyBorder="1"/>
    <xf numFmtId="0" fontId="0" fillId="0" borderId="46" xfId="0" applyFont="1" applyFill="1" applyBorder="1"/>
    <xf numFmtId="0" fontId="0" fillId="0" borderId="46" xfId="0" applyFont="1" applyFill="1" applyBorder="1" applyAlignment="1">
      <alignment horizontal="center" vertical="center" wrapText="1"/>
    </xf>
    <xf numFmtId="49" fontId="12" fillId="0" borderId="46" xfId="0" applyNumberFormat="1" applyFont="1" applyFill="1" applyBorder="1" applyAlignment="1">
      <alignment horizontal="center" vertical="center" wrapText="1"/>
    </xf>
    <xf numFmtId="0" fontId="0" fillId="0" borderId="65" xfId="0" applyFont="1" applyFill="1" applyBorder="1" applyAlignment="1">
      <alignment horizontal="center" vertical="center"/>
    </xf>
    <xf numFmtId="0" fontId="0" fillId="0" borderId="66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0" fillId="0" borderId="67" xfId="0" applyFont="1" applyFill="1" applyBorder="1" applyAlignment="1">
      <alignment horizontal="center" vertical="center"/>
    </xf>
    <xf numFmtId="49" fontId="0" fillId="0" borderId="48" xfId="0" applyNumberFormat="1" applyFont="1" applyFill="1" applyBorder="1" applyAlignment="1">
      <alignment horizontal="left" vertical="center"/>
    </xf>
    <xf numFmtId="49" fontId="0" fillId="0" borderId="64" xfId="0" applyNumberFormat="1" applyFont="1" applyFill="1" applyBorder="1" applyAlignment="1">
      <alignment horizontal="left" vertical="center"/>
    </xf>
    <xf numFmtId="0" fontId="8" fillId="0" borderId="69" xfId="0" applyFont="1" applyFill="1" applyBorder="1" applyAlignment="1">
      <alignment horizontal="center" vertical="center" wrapText="1"/>
    </xf>
    <xf numFmtId="0" fontId="8" fillId="0" borderId="70" xfId="0" applyFont="1" applyFill="1" applyBorder="1" applyAlignment="1">
      <alignment horizontal="center" vertical="center" wrapText="1"/>
    </xf>
    <xf numFmtId="0" fontId="8" fillId="0" borderId="70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left" vertical="center" readingOrder="1"/>
    </xf>
    <xf numFmtId="0" fontId="7" fillId="2" borderId="70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left" vertical="center" readingOrder="1"/>
    </xf>
    <xf numFmtId="0" fontId="6" fillId="2" borderId="72" xfId="0" applyFont="1" applyFill="1" applyBorder="1" applyAlignment="1">
      <alignment horizontal="center" vertical="center" wrapText="1"/>
    </xf>
    <xf numFmtId="0" fontId="16" fillId="10" borderId="73" xfId="0" applyFont="1" applyFill="1" applyBorder="1" applyAlignment="1">
      <alignment horizontal="center" vertical="center" wrapText="1"/>
    </xf>
    <xf numFmtId="0" fontId="16" fillId="11" borderId="73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49" fontId="0" fillId="0" borderId="48" xfId="0" applyNumberFormat="1" applyFont="1" applyFill="1" applyBorder="1" applyAlignment="1">
      <alignment horizontal="center" vertical="center"/>
    </xf>
    <xf numFmtId="49" fontId="0" fillId="0" borderId="64" xfId="0" applyNumberFormat="1" applyFont="1" applyFill="1" applyBorder="1" applyAlignment="1">
      <alignment horizontal="center" vertical="center"/>
    </xf>
    <xf numFmtId="0" fontId="0" fillId="1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68" xfId="0" applyFont="1" applyFill="1" applyBorder="1" applyAlignment="1">
      <alignment horizontal="center" vertical="center" wrapText="1"/>
    </xf>
    <xf numFmtId="0" fontId="13" fillId="6" borderId="22" xfId="2" applyFont="1" applyFill="1" applyBorder="1" applyAlignment="1">
      <alignment horizontal="center" vertical="center" textRotation="90" wrapText="1"/>
    </xf>
    <xf numFmtId="0" fontId="13" fillId="6" borderId="25" xfId="2" applyFont="1" applyFill="1" applyBorder="1" applyAlignment="1">
      <alignment horizontal="center" vertical="center" textRotation="90" wrapText="1"/>
    </xf>
    <xf numFmtId="0" fontId="13" fillId="6" borderId="23" xfId="2" applyFont="1" applyFill="1" applyBorder="1" applyAlignment="1">
      <alignment vertical="center" textRotation="90" wrapText="1"/>
    </xf>
    <xf numFmtId="0" fontId="0" fillId="0" borderId="0" xfId="0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23" fillId="0" borderId="0" xfId="0" applyFont="1" applyAlignment="1">
      <alignment horizontal="left" vertical="center" indent="3"/>
    </xf>
    <xf numFmtId="0" fontId="23" fillId="0" borderId="0" xfId="0" applyFont="1" applyAlignment="1">
      <alignment horizontal="left" vertical="center"/>
    </xf>
    <xf numFmtId="49" fontId="0" fillId="2" borderId="64" xfId="0" applyNumberFormat="1" applyFont="1" applyFill="1" applyBorder="1" applyAlignment="1">
      <alignment horizontal="center" vertical="center"/>
    </xf>
    <xf numFmtId="0" fontId="5" fillId="0" borderId="49" xfId="2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readingOrder="1"/>
    </xf>
    <xf numFmtId="0" fontId="21" fillId="0" borderId="0" xfId="0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7" fillId="0" borderId="75" xfId="0" applyFont="1" applyFill="1" applyBorder="1" applyAlignment="1">
      <alignment horizontal="left" vertical="center" readingOrder="1"/>
    </xf>
    <xf numFmtId="0" fontId="21" fillId="0" borderId="76" xfId="0" applyFont="1" applyFill="1" applyBorder="1" applyAlignment="1">
      <alignment horizontal="center" vertical="center"/>
    </xf>
    <xf numFmtId="0" fontId="7" fillId="0" borderId="76" xfId="0" applyFont="1" applyFill="1" applyBorder="1" applyAlignment="1">
      <alignment horizontal="center" vertical="center"/>
    </xf>
    <xf numFmtId="0" fontId="21" fillId="0" borderId="76" xfId="0" quotePrefix="1" applyFont="1" applyFill="1" applyBorder="1" applyAlignment="1">
      <alignment horizontal="center" vertical="center"/>
    </xf>
    <xf numFmtId="0" fontId="8" fillId="0" borderId="76" xfId="0" applyFont="1" applyFill="1" applyBorder="1" applyAlignment="1">
      <alignment horizontal="center" vertical="center"/>
    </xf>
    <xf numFmtId="0" fontId="8" fillId="0" borderId="77" xfId="0" applyFont="1" applyFill="1" applyBorder="1" applyAlignment="1">
      <alignment horizontal="center" vertical="center"/>
    </xf>
    <xf numFmtId="0" fontId="7" fillId="0" borderId="78" xfId="0" applyFont="1" applyFill="1" applyBorder="1" applyAlignment="1">
      <alignment horizontal="left" vertical="center" readingOrder="1"/>
    </xf>
    <xf numFmtId="0" fontId="21" fillId="0" borderId="79" xfId="0" quotePrefix="1" applyFont="1" applyFill="1" applyBorder="1" applyAlignment="1">
      <alignment horizontal="center" vertical="center"/>
    </xf>
    <xf numFmtId="0" fontId="7" fillId="0" borderId="79" xfId="0" applyFont="1" applyFill="1" applyBorder="1" applyAlignment="1">
      <alignment horizontal="center" vertical="center"/>
    </xf>
    <xf numFmtId="0" fontId="21" fillId="0" borderId="79" xfId="0" applyFont="1" applyFill="1" applyBorder="1" applyAlignment="1">
      <alignment horizontal="center" vertical="center"/>
    </xf>
    <xf numFmtId="0" fontId="8" fillId="0" borderId="79" xfId="0" applyFont="1" applyFill="1" applyBorder="1" applyAlignment="1">
      <alignment horizontal="center" vertical="center"/>
    </xf>
    <xf numFmtId="0" fontId="8" fillId="0" borderId="79" xfId="0" applyFont="1" applyFill="1" applyBorder="1" applyAlignment="1">
      <alignment horizontal="center" vertical="center" wrapText="1"/>
    </xf>
    <xf numFmtId="0" fontId="8" fillId="0" borderId="80" xfId="0" applyFont="1" applyFill="1" applyBorder="1" applyAlignment="1">
      <alignment horizontal="center" vertical="center"/>
    </xf>
    <xf numFmtId="0" fontId="8" fillId="10" borderId="79" xfId="0" applyFont="1" applyFill="1" applyBorder="1" applyAlignment="1">
      <alignment horizontal="center" vertical="center"/>
    </xf>
    <xf numFmtId="0" fontId="21" fillId="0" borderId="79" xfId="0" applyFont="1" applyFill="1" applyBorder="1" applyAlignment="1">
      <alignment horizontal="center" vertical="center" wrapText="1"/>
    </xf>
    <xf numFmtId="0" fontId="15" fillId="0" borderId="79" xfId="0" quotePrefix="1" applyFont="1" applyFill="1" applyBorder="1" applyAlignment="1">
      <alignment horizontal="center" vertical="center" wrapText="1"/>
    </xf>
    <xf numFmtId="0" fontId="15" fillId="0" borderId="79" xfId="0" applyFont="1" applyFill="1" applyBorder="1" applyAlignment="1">
      <alignment horizontal="center" vertical="center"/>
    </xf>
    <xf numFmtId="0" fontId="8" fillId="0" borderId="79" xfId="0" quotePrefix="1" applyFont="1" applyFill="1" applyBorder="1" applyAlignment="1">
      <alignment horizontal="center" vertical="center"/>
    </xf>
    <xf numFmtId="0" fontId="12" fillId="0" borderId="79" xfId="0" applyFont="1" applyBorder="1" applyAlignment="1">
      <alignment horizontal="center" vertical="center" wrapText="1"/>
    </xf>
    <xf numFmtId="0" fontId="7" fillId="0" borderId="79" xfId="0" applyFont="1" applyFill="1" applyBorder="1" applyAlignment="1">
      <alignment horizontal="left" vertical="center" readingOrder="1"/>
    </xf>
    <xf numFmtId="0" fontId="21" fillId="0" borderId="79" xfId="0" applyFont="1" applyFill="1" applyBorder="1" applyAlignment="1">
      <alignment horizontal="center" vertical="center" readingOrder="1"/>
    </xf>
    <xf numFmtId="0" fontId="7" fillId="0" borderId="79" xfId="0" applyFont="1" applyFill="1" applyBorder="1" applyAlignment="1">
      <alignment horizontal="center" vertical="center" readingOrder="1"/>
    </xf>
    <xf numFmtId="0" fontId="7" fillId="0" borderId="81" xfId="0" applyFont="1" applyFill="1" applyBorder="1" applyAlignment="1">
      <alignment horizontal="left" vertical="center" readingOrder="1"/>
    </xf>
    <xf numFmtId="0" fontId="21" fillId="0" borderId="82" xfId="0" applyFont="1" applyFill="1" applyBorder="1" applyAlignment="1">
      <alignment horizontal="center" vertical="center" readingOrder="1"/>
    </xf>
    <xf numFmtId="0" fontId="7" fillId="0" borderId="82" xfId="0" applyFont="1" applyFill="1" applyBorder="1" applyAlignment="1">
      <alignment horizontal="center" vertical="center"/>
    </xf>
    <xf numFmtId="0" fontId="7" fillId="0" borderId="82" xfId="0" applyFont="1" applyFill="1" applyBorder="1" applyAlignment="1">
      <alignment horizontal="left" vertical="center" readingOrder="1"/>
    </xf>
    <xf numFmtId="0" fontId="7" fillId="0" borderId="82" xfId="0" applyFont="1" applyFill="1" applyBorder="1" applyAlignment="1">
      <alignment horizontal="center" vertical="center" readingOrder="1"/>
    </xf>
    <xf numFmtId="0" fontId="8" fillId="0" borderId="82" xfId="0" applyFont="1" applyFill="1" applyBorder="1" applyAlignment="1">
      <alignment horizontal="center" vertical="center"/>
    </xf>
    <xf numFmtId="0" fontId="8" fillId="0" borderId="82" xfId="0" applyFont="1" applyFill="1" applyBorder="1" applyAlignment="1">
      <alignment horizontal="center" vertical="center" wrapText="1"/>
    </xf>
    <xf numFmtId="0" fontId="8" fillId="0" borderId="83" xfId="0" applyFont="1" applyFill="1" applyBorder="1" applyAlignment="1">
      <alignment horizontal="center" vertical="center"/>
    </xf>
    <xf numFmtId="0" fontId="8" fillId="10" borderId="82" xfId="0" applyFont="1" applyFill="1" applyBorder="1" applyAlignment="1">
      <alignment horizontal="center" vertical="center"/>
    </xf>
    <xf numFmtId="0" fontId="4" fillId="7" borderId="84" xfId="2" applyFont="1" applyFill="1" applyBorder="1"/>
    <xf numFmtId="0" fontId="4" fillId="7" borderId="85" xfId="2" applyFont="1" applyFill="1" applyBorder="1" applyAlignment="1">
      <alignment horizontal="center" wrapText="1"/>
    </xf>
    <xf numFmtId="0" fontId="4" fillId="7" borderId="86" xfId="2" applyFont="1" applyFill="1" applyBorder="1"/>
    <xf numFmtId="0" fontId="4" fillId="7" borderId="85" xfId="2" applyFont="1" applyFill="1" applyBorder="1" applyAlignment="1">
      <alignment wrapText="1"/>
    </xf>
    <xf numFmtId="0" fontId="4" fillId="7" borderId="85" xfId="2" applyFont="1" applyFill="1" applyBorder="1"/>
    <xf numFmtId="0" fontId="4" fillId="7" borderId="87" xfId="2" applyFont="1" applyFill="1" applyBorder="1"/>
    <xf numFmtId="0" fontId="5" fillId="7" borderId="88" xfId="2" applyFill="1" applyBorder="1" applyAlignment="1">
      <alignment vertical="top"/>
    </xf>
    <xf numFmtId="0" fontId="5" fillId="6" borderId="88" xfId="2" applyFill="1" applyBorder="1" applyAlignment="1">
      <alignment vertical="top"/>
    </xf>
    <xf numFmtId="0" fontId="5" fillId="0" borderId="89" xfId="2" applyFill="1" applyBorder="1" applyAlignment="1">
      <alignment vertical="top"/>
    </xf>
    <xf numFmtId="0" fontId="5" fillId="0" borderId="64" xfId="2" applyBorder="1" applyAlignment="1">
      <alignment horizontal="center" vertical="top"/>
    </xf>
    <xf numFmtId="0" fontId="5" fillId="0" borderId="52" xfId="2" applyBorder="1" applyAlignment="1">
      <alignment vertical="top"/>
    </xf>
    <xf numFmtId="0" fontId="5" fillId="0" borderId="64" xfId="2" applyBorder="1" applyAlignment="1">
      <alignment vertical="top"/>
    </xf>
    <xf numFmtId="0" fontId="5" fillId="0" borderId="64" xfId="2" applyBorder="1" applyAlignment="1">
      <alignment vertical="top" wrapText="1"/>
    </xf>
    <xf numFmtId="0" fontId="5" fillId="0" borderId="40" xfId="2" applyBorder="1" applyAlignment="1">
      <alignment vertical="top"/>
    </xf>
    <xf numFmtId="0" fontId="5" fillId="0" borderId="40" xfId="2" applyBorder="1" applyAlignment="1">
      <alignment vertical="top" wrapText="1"/>
    </xf>
    <xf numFmtId="0" fontId="5" fillId="0" borderId="67" xfId="2" applyBorder="1" applyAlignment="1">
      <alignment vertical="top"/>
    </xf>
    <xf numFmtId="0" fontId="5" fillId="0" borderId="0" xfId="2" applyFill="1" applyBorder="1" applyAlignment="1">
      <alignment vertical="top"/>
    </xf>
    <xf numFmtId="0" fontId="5" fillId="10" borderId="40" xfId="2" applyFill="1" applyBorder="1" applyAlignment="1">
      <alignment vertical="top"/>
    </xf>
    <xf numFmtId="0" fontId="5" fillId="0" borderId="59" xfId="2" applyBorder="1" applyAlignment="1">
      <alignment vertical="top"/>
    </xf>
    <xf numFmtId="0" fontId="5" fillId="0" borderId="62" xfId="2" applyBorder="1"/>
    <xf numFmtId="0" fontId="5" fillId="0" borderId="41" xfId="2" applyBorder="1" applyAlignment="1">
      <alignment horizontal="center"/>
    </xf>
    <xf numFmtId="0" fontId="5" fillId="0" borderId="53" xfId="2" applyBorder="1"/>
    <xf numFmtId="0" fontId="5" fillId="0" borderId="41" xfId="2" applyBorder="1"/>
    <xf numFmtId="0" fontId="5" fillId="0" borderId="42" xfId="2" applyBorder="1"/>
    <xf numFmtId="0" fontId="5" fillId="0" borderId="0" xfId="2" applyAlignment="1">
      <alignment horizontal="center"/>
    </xf>
    <xf numFmtId="0" fontId="5" fillId="14" borderId="88" xfId="2" applyFill="1" applyBorder="1" applyAlignment="1">
      <alignment vertical="top"/>
    </xf>
    <xf numFmtId="0" fontId="5" fillId="10" borderId="88" xfId="2" applyFill="1" applyBorder="1" applyAlignment="1">
      <alignment vertical="top"/>
    </xf>
    <xf numFmtId="0" fontId="5" fillId="15" borderId="88" xfId="2" applyFill="1" applyBorder="1" applyAlignment="1">
      <alignment vertical="top"/>
    </xf>
    <xf numFmtId="0" fontId="5" fillId="16" borderId="88" xfId="2" applyFill="1" applyBorder="1" applyAlignment="1">
      <alignment vertical="top"/>
    </xf>
    <xf numFmtId="0" fontId="15" fillId="15" borderId="88" xfId="2" applyFont="1" applyFill="1" applyBorder="1" applyAlignment="1">
      <alignment vertical="top"/>
    </xf>
    <xf numFmtId="0" fontId="8" fillId="0" borderId="76" xfId="0" quotePrefix="1" applyFont="1" applyFill="1" applyBorder="1" applyAlignment="1">
      <alignment horizontal="center" vertical="center"/>
    </xf>
    <xf numFmtId="0" fontId="24" fillId="10" borderId="79" xfId="0" applyFont="1" applyFill="1" applyBorder="1" applyAlignment="1">
      <alignment horizontal="center" vertical="center"/>
    </xf>
    <xf numFmtId="0" fontId="24" fillId="0" borderId="82" xfId="0" applyFont="1" applyFill="1" applyBorder="1" applyAlignment="1">
      <alignment horizontal="center" vertical="center" wrapText="1"/>
    </xf>
    <xf numFmtId="0" fontId="24" fillId="0" borderId="79" xfId="0" applyFont="1" applyFill="1" applyBorder="1" applyAlignment="1">
      <alignment horizontal="center" vertical="center" wrapText="1"/>
    </xf>
    <xf numFmtId="0" fontId="7" fillId="0" borderId="90" xfId="0" applyFont="1" applyFill="1" applyBorder="1" applyAlignment="1">
      <alignment horizontal="center" vertical="center"/>
    </xf>
    <xf numFmtId="0" fontId="8" fillId="0" borderId="91" xfId="0" applyFont="1" applyFill="1" applyBorder="1" applyAlignment="1">
      <alignment horizontal="center" vertical="center"/>
    </xf>
    <xf numFmtId="0" fontId="0" fillId="0" borderId="83" xfId="0" applyBorder="1"/>
    <xf numFmtId="14" fontId="0" fillId="0" borderId="0" xfId="0" applyNumberFormat="1" applyAlignment="1">
      <alignment horizontal="center"/>
    </xf>
    <xf numFmtId="49" fontId="0" fillId="0" borderId="61" xfId="0" applyNumberFormat="1" applyFont="1" applyFill="1" applyBorder="1" applyAlignment="1">
      <alignment horizontal="left" vertical="center"/>
    </xf>
    <xf numFmtId="49" fontId="0" fillId="0" borderId="92" xfId="0" applyNumberFormat="1" applyFont="1" applyFill="1" applyBorder="1" applyAlignment="1">
      <alignment horizontal="left" vertical="center"/>
    </xf>
    <xf numFmtId="49" fontId="0" fillId="0" borderId="92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93" xfId="0" applyFont="1" applyBorder="1" applyAlignment="1">
      <alignment horizontal="center"/>
    </xf>
    <xf numFmtId="0" fontId="0" fillId="0" borderId="94" xfId="0" applyFont="1" applyBorder="1"/>
    <xf numFmtId="0" fontId="0" fillId="0" borderId="92" xfId="0" applyFont="1" applyFill="1" applyBorder="1" applyAlignment="1">
      <alignment horizontal="center" vertical="center"/>
    </xf>
    <xf numFmtId="0" fontId="0" fillId="0" borderId="95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0" fillId="0" borderId="96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93" xfId="0" applyNumberFormat="1" applyFont="1" applyFill="1" applyBorder="1" applyAlignment="1">
      <alignment horizontal="center" vertical="center"/>
    </xf>
    <xf numFmtId="0" fontId="13" fillId="6" borderId="23" xfId="2" applyFont="1" applyFill="1" applyBorder="1" applyAlignment="1">
      <alignment vertical="center" textRotation="90"/>
    </xf>
    <xf numFmtId="0" fontId="13" fillId="6" borderId="22" xfId="2" applyFont="1" applyFill="1" applyBorder="1" applyAlignment="1">
      <alignment vertical="center" textRotation="90" wrapText="1"/>
    </xf>
    <xf numFmtId="0" fontId="13" fillId="6" borderId="25" xfId="2" applyFont="1" applyFill="1" applyBorder="1" applyAlignment="1">
      <alignment vertical="center" textRotation="90" wrapText="1"/>
    </xf>
    <xf numFmtId="0" fontId="5" fillId="0" borderId="6" xfId="2" applyFill="1" applyBorder="1" applyAlignment="1">
      <alignment vertical="center"/>
    </xf>
    <xf numFmtId="0" fontId="5" fillId="0" borderId="7" xfId="2" applyFill="1" applyBorder="1" applyAlignment="1">
      <alignment vertical="center"/>
    </xf>
    <xf numFmtId="0" fontId="5" fillId="0" borderId="33" xfId="2" applyFill="1" applyBorder="1" applyAlignment="1">
      <alignment vertical="center"/>
    </xf>
    <xf numFmtId="0" fontId="12" fillId="0" borderId="32" xfId="4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1" fillId="0" borderId="0" xfId="1" applyBorder="1"/>
    <xf numFmtId="0" fontId="0" fillId="0" borderId="93" xfId="0" applyFont="1" applyFill="1" applyBorder="1" applyAlignment="1">
      <alignment horizontal="center"/>
    </xf>
    <xf numFmtId="49" fontId="0" fillId="0" borderId="41" xfId="0" applyNumberFormat="1" applyFont="1" applyFill="1" applyBorder="1" applyAlignment="1">
      <alignment horizontal="left" vertical="center"/>
    </xf>
    <xf numFmtId="0" fontId="15" fillId="9" borderId="7" xfId="2" applyFont="1" applyFill="1" applyBorder="1" applyAlignment="1">
      <alignment horizontal="center" vertical="center"/>
    </xf>
    <xf numFmtId="0" fontId="15" fillId="0" borderId="7" xfId="2" applyFont="1" applyFill="1" applyBorder="1" applyAlignment="1">
      <alignment horizontal="center" vertical="center"/>
    </xf>
    <xf numFmtId="0" fontId="1" fillId="0" borderId="7" xfId="4" quotePrefix="1" applyFill="1" applyBorder="1" applyAlignment="1">
      <alignment horizontal="center" vertical="center"/>
    </xf>
    <xf numFmtId="0" fontId="1" fillId="0" borderId="7" xfId="4" quotePrefix="1" applyBorder="1" applyAlignment="1">
      <alignment horizontal="center" vertical="center"/>
    </xf>
    <xf numFmtId="0" fontId="12" fillId="0" borderId="7" xfId="4" quotePrefix="1" applyFont="1" applyBorder="1" applyAlignment="1">
      <alignment horizontal="center" vertical="center"/>
    </xf>
    <xf numFmtId="0" fontId="15" fillId="9" borderId="7" xfId="2" quotePrefix="1" applyFont="1" applyFill="1" applyBorder="1" applyAlignment="1">
      <alignment horizontal="center" vertical="center"/>
    </xf>
    <xf numFmtId="0" fontId="5" fillId="9" borderId="7" xfId="2" applyFill="1" applyBorder="1" applyAlignment="1">
      <alignment horizontal="center" vertical="center"/>
    </xf>
    <xf numFmtId="0" fontId="5" fillId="9" borderId="97" xfId="2" applyFill="1" applyBorder="1" applyAlignment="1">
      <alignment horizontal="center" vertical="center"/>
    </xf>
    <xf numFmtId="49" fontId="0" fillId="0" borderId="67" xfId="0" applyNumberFormat="1" applyFont="1" applyFill="1" applyBorder="1" applyAlignment="1">
      <alignment horizontal="left" vertical="center"/>
    </xf>
    <xf numFmtId="49" fontId="0" fillId="0" borderId="99" xfId="0" applyNumberFormat="1" applyFont="1" applyFill="1" applyBorder="1" applyAlignment="1">
      <alignment horizontal="left" vertical="center"/>
    </xf>
    <xf numFmtId="49" fontId="0" fillId="0" borderId="100" xfId="0" applyNumberFormat="1" applyFont="1" applyFill="1" applyBorder="1" applyAlignment="1">
      <alignment horizontal="left" vertical="center"/>
    </xf>
    <xf numFmtId="0" fontId="5" fillId="0" borderId="97" xfId="2" applyBorder="1" applyAlignment="1">
      <alignment vertical="center"/>
    </xf>
    <xf numFmtId="0" fontId="15" fillId="0" borderId="35" xfId="2" applyFont="1" applyFill="1" applyBorder="1" applyAlignment="1">
      <alignment horizontal="center" vertical="center"/>
    </xf>
    <xf numFmtId="0" fontId="15" fillId="0" borderId="97" xfId="2" applyFont="1" applyFill="1" applyBorder="1" applyAlignment="1">
      <alignment horizontal="center" vertical="center"/>
    </xf>
    <xf numFmtId="0" fontId="15" fillId="9" borderId="93" xfId="2" applyFont="1" applyFill="1" applyBorder="1" applyAlignment="1">
      <alignment horizontal="center" vertical="center"/>
    </xf>
    <xf numFmtId="0" fontId="15" fillId="9" borderId="97" xfId="2" applyFont="1" applyFill="1" applyBorder="1" applyAlignment="1">
      <alignment horizontal="center" vertical="center"/>
    </xf>
    <xf numFmtId="0" fontId="5" fillId="9" borderId="93" xfId="2" applyFill="1" applyBorder="1" applyAlignment="1">
      <alignment horizontal="center" vertical="center"/>
    </xf>
    <xf numFmtId="0" fontId="15" fillId="9" borderId="6" xfId="2" applyFont="1" applyFill="1" applyBorder="1" applyAlignment="1">
      <alignment horizontal="center" vertical="center"/>
    </xf>
    <xf numFmtId="0" fontId="1" fillId="0" borderId="6" xfId="4" quotePrefix="1" applyFill="1" applyBorder="1" applyAlignment="1">
      <alignment horizontal="center" vertical="center"/>
    </xf>
    <xf numFmtId="0" fontId="5" fillId="9" borderId="6" xfId="2" applyFill="1" applyBorder="1" applyAlignment="1">
      <alignment horizontal="center" vertical="center"/>
    </xf>
    <xf numFmtId="0" fontId="12" fillId="0" borderId="98" xfId="2" applyFont="1" applyBorder="1"/>
    <xf numFmtId="0" fontId="1" fillId="0" borderId="98" xfId="1" applyBorder="1"/>
    <xf numFmtId="0" fontId="15" fillId="0" borderId="7" xfId="2" applyFont="1" applyBorder="1" applyAlignment="1">
      <alignment horizontal="center" vertical="center"/>
    </xf>
    <xf numFmtId="0" fontId="15" fillId="0" borderId="7" xfId="2" quotePrefix="1" applyFont="1" applyBorder="1" applyAlignment="1">
      <alignment horizontal="center" vertical="center"/>
    </xf>
    <xf numFmtId="0" fontId="15" fillId="9" borderId="33" xfId="2" applyFont="1" applyFill="1" applyBorder="1" applyAlignment="1">
      <alignment horizontal="center" vertical="center"/>
    </xf>
    <xf numFmtId="0" fontId="15" fillId="0" borderId="6" xfId="2" quotePrefix="1" applyFont="1" applyBorder="1" applyAlignment="1">
      <alignment horizontal="center" vertical="center"/>
    </xf>
    <xf numFmtId="0" fontId="1" fillId="0" borderId="98" xfId="4" applyBorder="1" applyAlignment="1">
      <alignment vertical="center"/>
    </xf>
    <xf numFmtId="49" fontId="0" fillId="0" borderId="52" xfId="0" applyNumberFormat="1" applyFont="1" applyFill="1" applyBorder="1" applyAlignment="1">
      <alignment horizontal="left" vertical="center"/>
    </xf>
    <xf numFmtId="49" fontId="0" fillId="0" borderId="101" xfId="0" applyNumberFormat="1" applyFont="1" applyFill="1" applyBorder="1" applyAlignment="1">
      <alignment horizontal="left" vertical="center"/>
    </xf>
    <xf numFmtId="49" fontId="0" fillId="0" borderId="102" xfId="0" applyNumberFormat="1" applyFont="1" applyFill="1" applyBorder="1" applyAlignment="1">
      <alignment horizontal="left" vertical="center"/>
    </xf>
    <xf numFmtId="0" fontId="0" fillId="0" borderId="103" xfId="0" applyFont="1" applyFill="1" applyBorder="1" applyAlignment="1">
      <alignment horizontal="center" vertical="center" wrapText="1"/>
    </xf>
    <xf numFmtId="0" fontId="0" fillId="0" borderId="88" xfId="0" applyFont="1" applyFill="1" applyBorder="1" applyAlignment="1">
      <alignment horizontal="center" vertical="center" wrapText="1"/>
    </xf>
    <xf numFmtId="0" fontId="1" fillId="10" borderId="32" xfId="4" quotePrefix="1" applyFill="1" applyBorder="1" applyAlignment="1">
      <alignment horizontal="center" vertical="center"/>
    </xf>
    <xf numFmtId="0" fontId="2" fillId="0" borderId="7" xfId="4" quotePrefix="1" applyFont="1" applyBorder="1" applyAlignment="1">
      <alignment horizontal="center" vertical="center"/>
    </xf>
    <xf numFmtId="0" fontId="1" fillId="0" borderId="7" xfId="4" quotePrefix="1" applyFont="1" applyFill="1" applyBorder="1" applyAlignment="1">
      <alignment horizontal="center" vertical="center"/>
    </xf>
    <xf numFmtId="0" fontId="1" fillId="0" borderId="32" xfId="4" quotePrefix="1" applyFont="1" applyFill="1" applyBorder="1" applyAlignment="1">
      <alignment horizontal="center" vertical="center"/>
    </xf>
    <xf numFmtId="0" fontId="5" fillId="0" borderId="97" xfId="2" applyFont="1" applyFill="1" applyBorder="1" applyAlignment="1">
      <alignment horizontal="center" vertical="center"/>
    </xf>
    <xf numFmtId="0" fontId="5" fillId="0" borderId="35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/>
    </xf>
    <xf numFmtId="0" fontId="4" fillId="4" borderId="2" xfId="2" applyFont="1" applyFill="1" applyBorder="1" applyAlignment="1">
      <alignment horizontal="center"/>
    </xf>
    <xf numFmtId="0" fontId="13" fillId="6" borderId="24" xfId="2" applyFont="1" applyFill="1" applyBorder="1" applyAlignment="1">
      <alignment horizontal="center" vertical="center" textRotation="90" wrapText="1"/>
    </xf>
    <xf numFmtId="0" fontId="13" fillId="6" borderId="22" xfId="2" applyFont="1" applyFill="1" applyBorder="1" applyAlignment="1">
      <alignment horizontal="center" vertical="center" textRotation="90" wrapText="1"/>
    </xf>
    <xf numFmtId="0" fontId="13" fillId="6" borderId="23" xfId="2" applyFont="1" applyFill="1" applyBorder="1" applyAlignment="1">
      <alignment horizontal="center" vertical="center" textRotation="90" wrapText="1"/>
    </xf>
    <xf numFmtId="0" fontId="13" fillId="6" borderId="26" xfId="2" applyFont="1" applyFill="1" applyBorder="1" applyAlignment="1">
      <alignment horizontal="center" vertical="center" textRotation="90" wrapText="1"/>
    </xf>
    <xf numFmtId="0" fontId="13" fillId="6" borderId="25" xfId="2" applyFont="1" applyFill="1" applyBorder="1" applyAlignment="1">
      <alignment horizontal="center" vertical="center" textRotation="90" wrapText="1"/>
    </xf>
    <xf numFmtId="0" fontId="13" fillId="7" borderId="15" xfId="2" applyFont="1" applyFill="1" applyBorder="1" applyAlignment="1">
      <alignment horizontal="center" vertical="center" textRotation="90" wrapText="1"/>
    </xf>
    <xf numFmtId="0" fontId="13" fillId="7" borderId="27" xfId="2" applyFont="1" applyFill="1" applyBorder="1" applyAlignment="1">
      <alignment horizontal="center" vertical="center" textRotation="90" wrapText="1"/>
    </xf>
    <xf numFmtId="0" fontId="13" fillId="6" borderId="13" xfId="2" applyFont="1" applyFill="1" applyBorder="1" applyAlignment="1">
      <alignment horizontal="center" textRotation="90" wrapText="1"/>
    </xf>
    <xf numFmtId="0" fontId="13" fillId="6" borderId="5" xfId="2" applyFont="1" applyFill="1" applyBorder="1" applyAlignment="1">
      <alignment horizontal="center" textRotation="90" wrapText="1"/>
    </xf>
    <xf numFmtId="0" fontId="13" fillId="6" borderId="12" xfId="2" applyFont="1" applyFill="1" applyBorder="1" applyAlignment="1">
      <alignment horizontal="center" textRotation="90" wrapText="1"/>
    </xf>
    <xf numFmtId="0" fontId="13" fillId="6" borderId="17" xfId="2" applyFont="1" applyFill="1" applyBorder="1" applyAlignment="1">
      <alignment horizontal="center" textRotation="90" wrapText="1"/>
    </xf>
    <xf numFmtId="0" fontId="13" fillId="6" borderId="11" xfId="2" applyFont="1" applyFill="1" applyBorder="1" applyAlignment="1">
      <alignment horizontal="center" textRotation="90" wrapText="1"/>
    </xf>
    <xf numFmtId="0" fontId="13" fillId="7" borderId="13" xfId="2" applyFont="1" applyFill="1" applyBorder="1" applyAlignment="1">
      <alignment horizontal="center" textRotation="90" wrapText="1"/>
    </xf>
    <xf numFmtId="0" fontId="13" fillId="7" borderId="17" xfId="2" applyFont="1" applyFill="1" applyBorder="1" applyAlignment="1">
      <alignment horizontal="center" textRotation="90" wrapText="1"/>
    </xf>
    <xf numFmtId="0" fontId="13" fillId="7" borderId="11" xfId="2" applyFont="1" applyFill="1" applyBorder="1" applyAlignment="1">
      <alignment horizontal="center" textRotation="90" wrapText="1"/>
    </xf>
    <xf numFmtId="0" fontId="13" fillId="7" borderId="12" xfId="2" applyFont="1" applyFill="1" applyBorder="1" applyAlignment="1">
      <alignment horizontal="center" textRotation="90" wrapText="1"/>
    </xf>
    <xf numFmtId="0" fontId="13" fillId="7" borderId="30" xfId="2" applyFont="1" applyFill="1" applyBorder="1" applyAlignment="1">
      <alignment horizontal="center" vertical="center" textRotation="90" wrapText="1"/>
    </xf>
    <xf numFmtId="0" fontId="13" fillId="7" borderId="28" xfId="2" applyFont="1" applyFill="1" applyBorder="1" applyAlignment="1">
      <alignment horizontal="center" vertical="center" textRotation="90" wrapText="1"/>
    </xf>
    <xf numFmtId="0" fontId="13" fillId="7" borderId="29" xfId="2" applyFont="1" applyFill="1" applyBorder="1" applyAlignment="1">
      <alignment horizontal="center" vertical="center" textRotation="90" wrapText="1"/>
    </xf>
    <xf numFmtId="0" fontId="13" fillId="7" borderId="5" xfId="2" applyFont="1" applyFill="1" applyBorder="1" applyAlignment="1">
      <alignment horizontal="center" textRotation="90" wrapText="1"/>
    </xf>
  </cellXfs>
  <cellStyles count="7">
    <cellStyle name="Normal 2" xfId="5"/>
    <cellStyle name="Standard" xfId="0" builtinId="0"/>
    <cellStyle name="Standard 2" xfId="2"/>
    <cellStyle name="Standard 2 2" xfId="1"/>
    <cellStyle name="Standard 2 5" xfId="4"/>
    <cellStyle name="Standard 4 2" xfId="3"/>
    <cellStyle name="Standard 53" xfId="6"/>
  </cellStyles>
  <dxfs count="317"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X-Listen\Auswertungen\2012_09_17\Kopie%20von%20X-List_M31_IC5_IC4_2012_09_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X-Listen\Auswertungen\2012_01_19_harm\X-List_M31_IC5_IC4_2011_12_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X-Listen\Auswertungen\2012_07_03\X-List_IC5-D_2012_07_24_aktuel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ce.corp.bshg.com\mcw\Cr\K_Projektcontrolling\K4000_Essen\K4010_Projekte%20&amp;%20Varianten%20OHNE%20WSK\M0105091_In.Vent+X\Projektantrag%20Produkte\Prod.programm%20IV-X%20Planmenge%20PA_Kalk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kte/2017_EOX6020-21/92_Austauschordner/PPS_process/PPS1_2020Q1_EOX6021_NHT_COX51_EOX6_EOX5_share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X-Listen\VAVO_TechKl&#228;rung\VA-VO-Tech-Kl&#228;rung_1203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ce.corp.bshg.com\mcw\Users\tiedemann\AppData\Local\Microsoft\Windows\Temporary%20Internet%20Files\Content.Outlook\XUHM8Y5B\FPAnzSt_Hardwarekonzept_IC6_4.0_Stand0320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X-Liste"/>
      <sheetName val="X-List Entries"/>
      <sheetName val="kleine_Änd.o.ÄnderungDateinamen"/>
      <sheetName val="Cancelled VIBs"/>
      <sheetName val="Phased out VIB's"/>
      <sheetName val="Changings_BO_SE"/>
      <sheetName val="Changings NF"/>
      <sheetName val="Changings_ICC5-O"/>
      <sheetName val="VIB-Structure_IC5_HG"/>
      <sheetName val="Changings JU+ ex FBH"/>
      <sheetName val="VIB-Structure_IC5_SE"/>
      <sheetName val="VIB_Schlüssel_Neff"/>
      <sheetName val="VIB-Structure_CO"/>
      <sheetName val="VIB_Structure_JU (2)"/>
      <sheetName val="Changings_RegBrands"/>
      <sheetName val="Changings_Pitsos"/>
      <sheetName val="Changings_IC4"/>
      <sheetName val="Comments_RegBrands_07_06_07"/>
      <sheetName val="Changings CO_FBH "/>
      <sheetName val="Changings_90cm"/>
      <sheetName val="VIB_Structure_JU"/>
      <sheetName val="VIB_Structure IC4_BO"/>
      <sheetName val="VIB_Structure_IC4_SE"/>
      <sheetName val="Changings_V-Zug"/>
      <sheetName val="Sales restriction"/>
    </sheetNames>
    <sheetDataSet>
      <sheetData sheetId="0" refreshError="1"/>
      <sheetData sheetId="1" refreshError="1"/>
      <sheetData sheetId="2">
        <row r="10">
          <cell r="A10" t="str">
            <v>AU-Progr.</v>
          </cell>
        </row>
        <row r="11">
          <cell r="A11" t="str">
            <v>BeNeLux-Progr.</v>
          </cell>
        </row>
        <row r="12">
          <cell r="A12" t="str">
            <v>BE-Progr.</v>
          </cell>
        </row>
        <row r="13">
          <cell r="A13" t="str">
            <v>BR-Progr.</v>
          </cell>
        </row>
        <row r="14">
          <cell r="A14" t="str">
            <v>CH-Progr.</v>
          </cell>
        </row>
        <row r="15">
          <cell r="A15" t="str">
            <v>CN-Progr.</v>
          </cell>
        </row>
        <row r="16">
          <cell r="A16" t="str">
            <v>DE-Ce-Mittelstandskreis</v>
          </cell>
        </row>
        <row r="17">
          <cell r="A17" t="str">
            <v>CZ-Progr.</v>
          </cell>
        </row>
        <row r="18">
          <cell r="A18" t="str">
            <v>DE-Progr.</v>
          </cell>
        </row>
        <row r="19">
          <cell r="A19" t="str">
            <v>DE_EFH</v>
          </cell>
        </row>
        <row r="20">
          <cell r="A20" t="str">
            <v>DE-MC</v>
          </cell>
        </row>
        <row r="21">
          <cell r="A21" t="str">
            <v>DE-MK</v>
          </cell>
        </row>
        <row r="22">
          <cell r="A22" t="str">
            <v>ES-Progr.</v>
          </cell>
        </row>
        <row r="23">
          <cell r="A23" t="str">
            <v>EU-Linie</v>
          </cell>
        </row>
        <row r="24">
          <cell r="A24" t="str">
            <v>FR-Linie</v>
          </cell>
        </row>
        <row r="25">
          <cell r="A25" t="str">
            <v>FR-Progr.</v>
          </cell>
        </row>
        <row r="26">
          <cell r="A26" t="str">
            <v>FR_Sonder</v>
          </cell>
        </row>
        <row r="27">
          <cell r="A27" t="str">
            <v>GB-Exklusives</v>
          </cell>
        </row>
        <row r="28">
          <cell r="A28" t="str">
            <v>GB-Linie</v>
          </cell>
        </row>
        <row r="29">
          <cell r="A29" t="str">
            <v>GB-Master</v>
          </cell>
        </row>
        <row r="30">
          <cell r="A30" t="str">
            <v>GB-Progr.</v>
          </cell>
        </row>
        <row r="31">
          <cell r="A31" t="str">
            <v>GCC-Progr.</v>
          </cell>
        </row>
        <row r="32">
          <cell r="A32" t="str">
            <v>GR-Progr.</v>
          </cell>
        </row>
        <row r="33">
          <cell r="A33" t="str">
            <v>IL-Progr.</v>
          </cell>
        </row>
        <row r="34">
          <cell r="A34" t="str">
            <v>IT-Progr.</v>
          </cell>
        </row>
        <row r="35">
          <cell r="A35" t="str">
            <v>Junker</v>
          </cell>
        </row>
        <row r="36">
          <cell r="A36" t="str">
            <v>KFM</v>
          </cell>
        </row>
        <row r="37">
          <cell r="A37" t="str">
            <v>KFM - Nobilia</v>
          </cell>
        </row>
        <row r="38">
          <cell r="A38" t="str">
            <v>MSH-Progr.</v>
          </cell>
        </row>
        <row r="39">
          <cell r="A39" t="str">
            <v>MY-Progr.</v>
          </cell>
        </row>
        <row r="40">
          <cell r="A40" t="str">
            <v>Nostalgie</v>
          </cell>
        </row>
        <row r="41">
          <cell r="A41" t="str">
            <v>NL-Progr.</v>
          </cell>
        </row>
        <row r="42">
          <cell r="A42" t="str">
            <v>O-EU-Progr.</v>
          </cell>
        </row>
        <row r="43">
          <cell r="A43" t="str">
            <v>PL-Progr.</v>
          </cell>
        </row>
        <row r="44">
          <cell r="A44" t="str">
            <v>RO-Progr.</v>
          </cell>
        </row>
        <row r="45">
          <cell r="A45" t="str">
            <v>RU-Linie</v>
          </cell>
        </row>
        <row r="46">
          <cell r="A46" t="str">
            <v>RU-Progr.</v>
          </cell>
        </row>
        <row r="47">
          <cell r="A47" t="str">
            <v>SA-Progr.</v>
          </cell>
        </row>
        <row r="48">
          <cell r="A48" t="str">
            <v>Tecnik OEM</v>
          </cell>
        </row>
        <row r="49">
          <cell r="A49" t="str">
            <v>TR-Progr.</v>
          </cell>
        </row>
        <row r="50">
          <cell r="A50" t="str">
            <v>VNE-Progr.</v>
          </cell>
        </row>
        <row r="51">
          <cell r="A51" t="str">
            <v>ZAE-Progr.</v>
          </cell>
        </row>
        <row r="52">
          <cell r="A52" t="str">
            <v>Mixed-Progr.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X-Liste"/>
      <sheetName val="X-List Entries"/>
      <sheetName val="kleine_Änd.o.ÄnderungDateinamen"/>
      <sheetName val="Cancelled VIBs"/>
      <sheetName val="Phased out VIB's"/>
      <sheetName val="Changings_BO_SE"/>
      <sheetName val="Changings NF"/>
      <sheetName val="Changings_ICC5-O"/>
      <sheetName val="VIB-Structure_IC5_HG"/>
      <sheetName val="VIB-Structure_CO"/>
      <sheetName val="VIB-Structure_IC5_SE"/>
      <sheetName val="VIB_Schlüssel_Neff"/>
      <sheetName val="Changings_RegBrands"/>
      <sheetName val="Changings_Pitsos"/>
      <sheetName val="Changings_IC4"/>
      <sheetName val="Comments_RegBrands_07_06_07"/>
      <sheetName val="Changings CO_FBH "/>
      <sheetName val="Changings_90cm"/>
      <sheetName val="VIB_Structure_JU"/>
      <sheetName val="VIB_Structure IC4_BO"/>
      <sheetName val="VIB_Structure_IC4_SE"/>
      <sheetName val="Changings_V-Zug"/>
      <sheetName val="Sales restriction"/>
    </sheetNames>
    <sheetDataSet>
      <sheetData sheetId="0" refreshError="1"/>
      <sheetData sheetId="1" refreshError="1"/>
      <sheetData sheetId="2">
        <row r="10">
          <cell r="A10" t="str">
            <v>AU-Progr.</v>
          </cell>
          <cell r="C10" t="str">
            <v>N</v>
          </cell>
          <cell r="E10" t="str">
            <v>DD</v>
          </cell>
          <cell r="H10" t="str">
            <v>BO</v>
          </cell>
          <cell r="I10" t="str">
            <v>FAH</v>
          </cell>
          <cell r="M10" t="str">
            <v>Constructa 2008</v>
          </cell>
          <cell r="O10" t="str">
            <v>BO</v>
          </cell>
          <cell r="U10" t="str">
            <v>ANT</v>
          </cell>
          <cell r="V10" t="str">
            <v>B0</v>
          </cell>
          <cell r="W10" t="str">
            <v>Middle</v>
          </cell>
          <cell r="X10" t="str">
            <v>AM</v>
          </cell>
          <cell r="Z10" t="str">
            <v>LI</v>
          </cell>
          <cell r="AA10" t="str">
            <v>HD</v>
          </cell>
          <cell r="AC10">
            <v>9000165295</v>
          </cell>
          <cell r="AD10" t="str">
            <v>B</v>
          </cell>
          <cell r="AE10" t="str">
            <v>ALP</v>
          </cell>
          <cell r="AG10" t="str">
            <v>9000439141</v>
          </cell>
          <cell r="AH10" t="str">
            <v>O</v>
          </cell>
          <cell r="AI10" t="str">
            <v>D</v>
          </cell>
          <cell r="AJ10" t="str">
            <v>ALU</v>
          </cell>
          <cell r="AK10" t="str">
            <v>EDE-lack.</v>
          </cell>
          <cell r="AL10">
            <v>30</v>
          </cell>
          <cell r="AM10" t="str">
            <v>dip-in</v>
          </cell>
          <cell r="AN10" t="str">
            <v>B</v>
          </cell>
          <cell r="AP10" t="str">
            <v>AC</v>
          </cell>
          <cell r="AQ10" t="str">
            <v>X</v>
          </cell>
          <cell r="AS10" t="str">
            <v>A</v>
          </cell>
          <cell r="AT10" t="str">
            <v>HL,VR</v>
          </cell>
          <cell r="AU10">
            <v>13</v>
          </cell>
          <cell r="AW10">
            <v>10</v>
          </cell>
          <cell r="AX10" t="str">
            <v>X</v>
          </cell>
          <cell r="AY10" t="str">
            <v>B,A,E</v>
          </cell>
          <cell r="AZ10" t="str">
            <v>X</v>
          </cell>
          <cell r="BB10" t="str">
            <v>2D</v>
          </cell>
          <cell r="BC10">
            <v>2.2999999999999998</v>
          </cell>
          <cell r="BD10">
            <v>1.6</v>
          </cell>
          <cell r="BE10">
            <v>2.1</v>
          </cell>
          <cell r="BF10">
            <v>2.2999999999999998</v>
          </cell>
          <cell r="BG10">
            <v>2.4</v>
          </cell>
          <cell r="BH10">
            <v>1.8</v>
          </cell>
          <cell r="BI10">
            <v>2.2999999999999998</v>
          </cell>
          <cell r="BJ10">
            <v>1.1000000000000001</v>
          </cell>
          <cell r="BK10">
            <v>2.2000000000000002</v>
          </cell>
          <cell r="BL10">
            <v>1.3</v>
          </cell>
          <cell r="BM10">
            <v>1.2</v>
          </cell>
          <cell r="BN10">
            <v>2.2999999999999998</v>
          </cell>
          <cell r="BO10">
            <v>1.6</v>
          </cell>
          <cell r="BP10">
            <v>1.6</v>
          </cell>
          <cell r="BQ10">
            <v>2.1</v>
          </cell>
          <cell r="BR10">
            <v>2.8</v>
          </cell>
          <cell r="BS10" t="str">
            <v>X</v>
          </cell>
          <cell r="BT10" t="str">
            <v>X</v>
          </cell>
          <cell r="BU10" t="str">
            <v>X</v>
          </cell>
          <cell r="BV10">
            <v>1.1000000000000001</v>
          </cell>
          <cell r="BW10">
            <v>1.1000000000000001</v>
          </cell>
          <cell r="BX10">
            <v>1</v>
          </cell>
          <cell r="BZ10" t="str">
            <v>X</v>
          </cell>
          <cell r="CA10" t="str">
            <v>RU</v>
          </cell>
          <cell r="CB10" t="str">
            <v>X(a)</v>
          </cell>
          <cell r="CC10" t="str">
            <v>RU</v>
          </cell>
          <cell r="CD10" t="str">
            <v>X</v>
          </cell>
          <cell r="CE10" t="str">
            <v>opt.acc.</v>
          </cell>
          <cell r="CG10" t="str">
            <v>X</v>
          </cell>
          <cell r="CH10" t="str">
            <v>X</v>
          </cell>
          <cell r="CI10">
            <v>7</v>
          </cell>
          <cell r="CJ10" t="str">
            <v>1,3,4</v>
          </cell>
          <cell r="CK10">
            <v>1</v>
          </cell>
          <cell r="CL10" t="str">
            <v>GI</v>
          </cell>
          <cell r="CN10" t="str">
            <v>X</v>
          </cell>
          <cell r="CO10" t="str">
            <v>X</v>
          </cell>
          <cell r="CP10" t="str">
            <v>E</v>
          </cell>
          <cell r="CQ10" t="str">
            <v>X</v>
          </cell>
          <cell r="CR10" t="str">
            <v>X</v>
          </cell>
          <cell r="CU10" t="str">
            <v>smooth</v>
          </cell>
          <cell r="CV10">
            <v>30</v>
          </cell>
          <cell r="CW10" t="str">
            <v>black</v>
          </cell>
          <cell r="CX10">
            <v>3</v>
          </cell>
          <cell r="CZ10" t="str">
            <v>1L</v>
          </cell>
          <cell r="DA10">
            <v>1</v>
          </cell>
          <cell r="DB10">
            <v>10.1</v>
          </cell>
          <cell r="DC10" t="str">
            <v>B</v>
          </cell>
          <cell r="DD10" t="str">
            <v>AS</v>
          </cell>
          <cell r="DF10" t="str">
            <v>B</v>
          </cell>
          <cell r="DG10" t="str">
            <v>D</v>
          </cell>
          <cell r="DH10" t="str">
            <v>BL</v>
          </cell>
          <cell r="DI10">
            <v>2</v>
          </cell>
          <cell r="DJ10" t="str">
            <v>30° C</v>
          </cell>
          <cell r="DK10" t="str">
            <v>Gifam</v>
          </cell>
          <cell r="DL10" t="str">
            <v>X</v>
          </cell>
          <cell r="DM10" t="str">
            <v>BL</v>
          </cell>
          <cell r="DN10">
            <v>2</v>
          </cell>
          <cell r="DO10" t="str">
            <v>40° C</v>
          </cell>
          <cell r="DQ10" t="str">
            <v>E</v>
          </cell>
          <cell r="DR10" t="str">
            <v>-</v>
          </cell>
          <cell r="DS10" t="str">
            <v>AB</v>
          </cell>
          <cell r="DT10" t="str">
            <v>AB</v>
          </cell>
          <cell r="DU10">
            <v>1</v>
          </cell>
          <cell r="DY10" t="str">
            <v>A</v>
          </cell>
          <cell r="DZ10">
            <v>250</v>
          </cell>
          <cell r="EA10">
            <v>270</v>
          </cell>
          <cell r="EB10" t="str">
            <v>220V</v>
          </cell>
          <cell r="EC10" t="str">
            <v>1N~</v>
          </cell>
          <cell r="ED10">
            <v>2.35</v>
          </cell>
          <cell r="EE10">
            <v>50</v>
          </cell>
          <cell r="EF10" t="str">
            <v>_BC-S-C</v>
          </cell>
          <cell r="EG10" t="str">
            <v>Pizza</v>
          </cell>
          <cell r="EH10">
            <v>1.7</v>
          </cell>
          <cell r="EI10" t="str">
            <v>-</v>
          </cell>
          <cell r="EJ10" t="str">
            <v>-</v>
          </cell>
          <cell r="EL10">
            <v>1</v>
          </cell>
          <cell r="EM10">
            <v>1</v>
          </cell>
          <cell r="EN10">
            <v>1</v>
          </cell>
          <cell r="EO10">
            <v>1</v>
          </cell>
          <cell r="EP10">
            <v>1</v>
          </cell>
          <cell r="EQ10">
            <v>1</v>
          </cell>
          <cell r="ER10">
            <v>1</v>
          </cell>
          <cell r="ES10">
            <v>1</v>
          </cell>
          <cell r="EU10" t="str">
            <v>M</v>
          </cell>
          <cell r="FA10" t="str">
            <v>GK</v>
          </cell>
          <cell r="FB10" t="str">
            <v>RP</v>
          </cell>
          <cell r="FC10" t="str">
            <v>RP</v>
          </cell>
        </row>
        <row r="11">
          <cell r="A11" t="str">
            <v>BeNeLux-Progr.</v>
          </cell>
          <cell r="C11" t="str">
            <v>C</v>
          </cell>
          <cell r="E11" t="str">
            <v>DDTS</v>
          </cell>
          <cell r="H11" t="str">
            <v>BA</v>
          </cell>
          <cell r="I11" t="str">
            <v>FBH</v>
          </cell>
          <cell r="M11" t="str">
            <v>IC4</v>
          </cell>
          <cell r="O11" t="str">
            <v>ES</v>
          </cell>
          <cell r="S11" t="str">
            <v>54,8 x 75,9 x 56,5</v>
          </cell>
          <cell r="U11" t="str">
            <v>ANTHRACITE MA 607.50</v>
          </cell>
          <cell r="V11" t="str">
            <v>B0a</v>
          </cell>
          <cell r="W11" t="str">
            <v>Middle MK</v>
          </cell>
          <cell r="X11" t="str">
            <v>GR</v>
          </cell>
          <cell r="Z11" t="str">
            <v>OAP,UAP</v>
          </cell>
          <cell r="AA11" t="str">
            <v>VD</v>
          </cell>
          <cell r="AC11" t="str">
            <v>B1</v>
          </cell>
          <cell r="AD11" t="str">
            <v>D</v>
          </cell>
          <cell r="AE11" t="str">
            <v>ALU</v>
          </cell>
          <cell r="AG11" t="str">
            <v>9000613601</v>
          </cell>
          <cell r="AH11" t="str">
            <v>S</v>
          </cell>
          <cell r="AI11" t="str">
            <v>D,OV,V</v>
          </cell>
          <cell r="AJ11" t="str">
            <v>ANT</v>
          </cell>
          <cell r="AK11" t="str">
            <v>EDE-lack+cap</v>
          </cell>
          <cell r="AL11">
            <v>34</v>
          </cell>
          <cell r="AM11" t="str">
            <v>pop-out</v>
          </cell>
          <cell r="AN11" t="str">
            <v>B,K</v>
          </cell>
          <cell r="AP11" t="str">
            <v>E0_C</v>
          </cell>
          <cell r="AS11" t="str">
            <v>A,D</v>
          </cell>
          <cell r="AT11" t="str">
            <v>HL,VR,VL</v>
          </cell>
          <cell r="AU11">
            <v>14</v>
          </cell>
          <cell r="AW11">
            <v>14</v>
          </cell>
          <cell r="AY11" t="str">
            <v>B,E</v>
          </cell>
          <cell r="AZ11" t="str">
            <v>X(a)</v>
          </cell>
          <cell r="BB11" t="str">
            <v>3DL</v>
          </cell>
          <cell r="BC11" t="str">
            <v>X</v>
          </cell>
          <cell r="BD11">
            <v>2.1</v>
          </cell>
          <cell r="BE11">
            <v>2.2999999999999998</v>
          </cell>
          <cell r="BF11">
            <v>2.4</v>
          </cell>
          <cell r="BH11">
            <v>2.7</v>
          </cell>
          <cell r="BI11">
            <v>2.6</v>
          </cell>
          <cell r="BJ11">
            <v>1.2</v>
          </cell>
          <cell r="BK11">
            <v>2.2999999999999998</v>
          </cell>
          <cell r="BL11">
            <v>2.2000000000000002</v>
          </cell>
          <cell r="BM11">
            <v>1.5</v>
          </cell>
          <cell r="BN11">
            <v>2.4</v>
          </cell>
          <cell r="BO11">
            <v>2.1</v>
          </cell>
          <cell r="BP11">
            <v>2.1</v>
          </cell>
          <cell r="BQ11">
            <v>2.2999999999999998</v>
          </cell>
          <cell r="BU11">
            <v>1.3</v>
          </cell>
          <cell r="BV11">
            <v>1.3</v>
          </cell>
          <cell r="BW11">
            <v>1.3</v>
          </cell>
          <cell r="BX11">
            <v>2</v>
          </cell>
          <cell r="CA11" t="str">
            <v>RU,DE</v>
          </cell>
          <cell r="CB11" t="str">
            <v>X(b)</v>
          </cell>
          <cell r="CC11" t="str">
            <v>RU,DE</v>
          </cell>
          <cell r="CD11" t="str">
            <v>X (m)</v>
          </cell>
          <cell r="CE11" t="str">
            <v>X</v>
          </cell>
          <cell r="CH11" t="str">
            <v>X(AU)</v>
          </cell>
          <cell r="CI11">
            <v>9</v>
          </cell>
          <cell r="CJ11">
            <v>2.2999999999999998</v>
          </cell>
          <cell r="CK11" t="str">
            <v>1, 3</v>
          </cell>
          <cell r="CL11" t="str">
            <v>TA</v>
          </cell>
          <cell r="CP11" t="str">
            <v>E,M</v>
          </cell>
          <cell r="CU11" t="str">
            <v>ribbed</v>
          </cell>
          <cell r="CV11">
            <v>33</v>
          </cell>
          <cell r="CW11" t="str">
            <v>brown</v>
          </cell>
          <cell r="CX11">
            <v>4</v>
          </cell>
          <cell r="CZ11" t="str">
            <v>HL,SO</v>
          </cell>
          <cell r="DA11">
            <v>3</v>
          </cell>
          <cell r="DB11">
            <v>15.15</v>
          </cell>
          <cell r="DC11" t="str">
            <v>B,R</v>
          </cell>
          <cell r="DD11" t="str">
            <v>LB</v>
          </cell>
          <cell r="DF11" t="str">
            <v>L</v>
          </cell>
          <cell r="DH11" t="str">
            <v>VO</v>
          </cell>
          <cell r="DI11">
            <v>3</v>
          </cell>
          <cell r="DJ11" t="str">
            <v>40° C</v>
          </cell>
          <cell r="DK11" t="str">
            <v>label</v>
          </cell>
          <cell r="DM11" t="str">
            <v>BL2</v>
          </cell>
          <cell r="DN11">
            <v>3</v>
          </cell>
          <cell r="DO11" t="str">
            <v>50° C</v>
          </cell>
          <cell r="DQ11" t="str">
            <v>E,G</v>
          </cell>
          <cell r="DR11" t="str">
            <v>AB</v>
          </cell>
          <cell r="DS11" t="str">
            <v>BD</v>
          </cell>
          <cell r="DT11" t="str">
            <v>BD</v>
          </cell>
          <cell r="DU11">
            <v>2</v>
          </cell>
          <cell r="DY11" t="str">
            <v>A (-10%)</v>
          </cell>
          <cell r="DZ11">
            <v>270</v>
          </cell>
          <cell r="EA11">
            <v>275</v>
          </cell>
          <cell r="EB11" t="str">
            <v>220-230V</v>
          </cell>
          <cell r="EC11" t="str">
            <v>2~</v>
          </cell>
          <cell r="ED11" t="str">
            <v>2,48 kW</v>
          </cell>
          <cell r="EE11" t="str">
            <v>50/60</v>
          </cell>
          <cell r="EF11" t="str">
            <v>_EC-S4</v>
          </cell>
          <cell r="EG11" t="str">
            <v>Schnellaufh.</v>
          </cell>
          <cell r="EH11">
            <v>2.8</v>
          </cell>
          <cell r="EI11">
            <v>95</v>
          </cell>
          <cell r="EJ11" t="str">
            <v>AU</v>
          </cell>
          <cell r="EM11">
            <v>2</v>
          </cell>
          <cell r="EN11" t="str">
            <v>1 FTH</v>
          </cell>
          <cell r="EO11">
            <v>2</v>
          </cell>
          <cell r="EP11" t="str">
            <v>1 (GB)</v>
          </cell>
          <cell r="EU11" t="str">
            <v>SAP</v>
          </cell>
          <cell r="FB11" t="str">
            <v>PL</v>
          </cell>
          <cell r="FC11" t="str">
            <v>PL</v>
          </cell>
        </row>
        <row r="12">
          <cell r="A12" t="str">
            <v>BE-Progr.</v>
          </cell>
          <cell r="C12" t="str">
            <v>P</v>
          </cell>
          <cell r="E12" t="str">
            <v>ESM</v>
          </cell>
          <cell r="H12" t="str">
            <v>CO</v>
          </cell>
          <cell r="I12" t="str">
            <v>FIH</v>
          </cell>
          <cell r="M12" t="str">
            <v>IC4.2</v>
          </cell>
          <cell r="O12" t="str">
            <v>HE</v>
          </cell>
          <cell r="S12" t="str">
            <v>56,7 x 10,0 x 26</v>
          </cell>
          <cell r="U12" t="str">
            <v>BRA</v>
          </cell>
          <cell r="V12" t="str">
            <v>B1</v>
          </cell>
          <cell r="W12" t="str">
            <v>Nostalgie</v>
          </cell>
          <cell r="X12" t="str">
            <v>GR,RO</v>
          </cell>
          <cell r="Z12" t="str">
            <v>OBA</v>
          </cell>
          <cell r="AC12" t="str">
            <v>B1, white padestal</v>
          </cell>
          <cell r="AD12" t="str">
            <v>S</v>
          </cell>
          <cell r="AE12" t="str">
            <v>BRA</v>
          </cell>
          <cell r="AG12" t="str">
            <v>53000001000061</v>
          </cell>
          <cell r="AH12" t="str">
            <v>Z</v>
          </cell>
          <cell r="AI12" t="str">
            <v>D,RD</v>
          </cell>
          <cell r="AJ12" t="str">
            <v>BRA</v>
          </cell>
          <cell r="AK12" t="str">
            <v>KuSto-BRA</v>
          </cell>
          <cell r="AL12">
            <v>37</v>
          </cell>
          <cell r="AM12" t="str">
            <v>pop-out damped</v>
          </cell>
          <cell r="AN12" t="str">
            <v>K</v>
          </cell>
          <cell r="AP12" t="str">
            <v>E0_CF</v>
          </cell>
          <cell r="AS12" t="str">
            <v>G</v>
          </cell>
          <cell r="AT12" t="str">
            <v>VL,HR</v>
          </cell>
          <cell r="AU12" t="str">
            <v>GeR</v>
          </cell>
          <cell r="AW12">
            <v>18</v>
          </cell>
          <cell r="AZ12" t="str">
            <v>X(a) 2,9</v>
          </cell>
          <cell r="BB12" t="str">
            <v>3DL-O</v>
          </cell>
          <cell r="BD12">
            <v>2.2999999999999998</v>
          </cell>
          <cell r="BF12">
            <v>2.5</v>
          </cell>
          <cell r="BH12">
            <v>3.2</v>
          </cell>
          <cell r="BJ12">
            <v>1.3</v>
          </cell>
          <cell r="BK12">
            <v>2.8</v>
          </cell>
          <cell r="BL12">
            <v>2.2999999999999998</v>
          </cell>
          <cell r="BM12">
            <v>1.6</v>
          </cell>
          <cell r="BN12" t="str">
            <v>X</v>
          </cell>
          <cell r="BO12">
            <v>2.2999999999999998</v>
          </cell>
          <cell r="BP12">
            <v>2.2999999999999998</v>
          </cell>
          <cell r="BQ12">
            <v>2.4</v>
          </cell>
          <cell r="BV12" t="str">
            <v>X</v>
          </cell>
          <cell r="BW12" t="str">
            <v>X</v>
          </cell>
          <cell r="BX12">
            <v>3</v>
          </cell>
          <cell r="CA12" t="str">
            <v>RU,DE,SE</v>
          </cell>
          <cell r="CC12" t="str">
            <v>RU,DE,SE</v>
          </cell>
          <cell r="CH12" t="str">
            <v>X(mV)</v>
          </cell>
          <cell r="CI12" t="str">
            <v>BA</v>
          </cell>
          <cell r="CJ12" t="str">
            <v>2,3,4</v>
          </cell>
          <cell r="CK12" t="str">
            <v>1,3,RF</v>
          </cell>
          <cell r="CL12" t="str">
            <v>TG</v>
          </cell>
          <cell r="CP12" t="str">
            <v>M</v>
          </cell>
          <cell r="CV12">
            <v>48</v>
          </cell>
          <cell r="CW12" t="str">
            <v>grey</v>
          </cell>
          <cell r="CX12">
            <v>5</v>
          </cell>
          <cell r="CZ12" t="str">
            <v>HR,HL,SO</v>
          </cell>
          <cell r="DA12" t="str">
            <v>1norm</v>
          </cell>
          <cell r="DB12">
            <v>20</v>
          </cell>
          <cell r="DC12" t="str">
            <v>L,R</v>
          </cell>
          <cell r="DD12" t="str">
            <v>light button</v>
          </cell>
          <cell r="DF12" t="str">
            <v>R</v>
          </cell>
          <cell r="DH12" t="str">
            <v>VT</v>
          </cell>
          <cell r="DI12">
            <v>4</v>
          </cell>
          <cell r="DJ12" t="str">
            <v>50° C</v>
          </cell>
          <cell r="DK12" t="str">
            <v>no label</v>
          </cell>
          <cell r="DM12" t="str">
            <v>VM</v>
          </cell>
          <cell r="DN12">
            <v>4</v>
          </cell>
          <cell r="DO12" t="str">
            <v>norm</v>
          </cell>
          <cell r="DQ12" t="str">
            <v>G</v>
          </cell>
          <cell r="DR12" t="str">
            <v>UB</v>
          </cell>
          <cell r="DS12" t="str">
            <v>UB</v>
          </cell>
          <cell r="DT12" t="str">
            <v>UB</v>
          </cell>
          <cell r="DU12">
            <v>3</v>
          </cell>
          <cell r="DY12" t="str">
            <v>A (-20%)</v>
          </cell>
          <cell r="DZ12">
            <v>275</v>
          </cell>
          <cell r="EA12">
            <v>300</v>
          </cell>
          <cell r="EB12" t="str">
            <v>220-240V</v>
          </cell>
          <cell r="EC12" t="str">
            <v>2N~</v>
          </cell>
          <cell r="ED12">
            <v>2.6</v>
          </cell>
          <cell r="EF12" t="str">
            <v>_EC-S4-C</v>
          </cell>
          <cell r="EH12">
            <v>2.85</v>
          </cell>
          <cell r="EI12">
            <v>100</v>
          </cell>
          <cell r="EJ12" t="str">
            <v>CN</v>
          </cell>
          <cell r="EO12" t="str">
            <v>1 (AU)</v>
          </cell>
          <cell r="EP12">
            <v>2</v>
          </cell>
          <cell r="EU12" t="str">
            <v>TH</v>
          </cell>
          <cell r="FB12" t="str">
            <v>RP;PL</v>
          </cell>
          <cell r="FC12" t="str">
            <v>RP;PL</v>
          </cell>
        </row>
        <row r="13">
          <cell r="A13" t="str">
            <v>BR-Progr.</v>
          </cell>
          <cell r="E13" t="str">
            <v>ESMDD</v>
          </cell>
          <cell r="H13" t="str">
            <v>COe</v>
          </cell>
          <cell r="I13" t="str">
            <v>FMH</v>
          </cell>
          <cell r="M13" t="str">
            <v>IC5</v>
          </cell>
          <cell r="O13" t="str">
            <v>KBO</v>
          </cell>
          <cell r="S13" t="str">
            <v>59,4 x 45,4 x  55</v>
          </cell>
          <cell r="U13" t="str">
            <v>BSH WHITE VZF07020</v>
          </cell>
          <cell r="V13" t="str">
            <v>B1a</v>
          </cell>
          <cell r="W13" t="str">
            <v>Value</v>
          </cell>
          <cell r="X13" t="str">
            <v>RO</v>
          </cell>
          <cell r="Z13" t="str">
            <v>OFB</v>
          </cell>
          <cell r="AC13" t="str">
            <v>BalayNosti</v>
          </cell>
          <cell r="AD13" t="str">
            <v>S,SB</v>
          </cell>
          <cell r="AE13" t="str">
            <v>Brass</v>
          </cell>
          <cell r="AG13" t="str">
            <v>53520000008375</v>
          </cell>
          <cell r="AI13" t="str">
            <v>D,RD,V</v>
          </cell>
          <cell r="AJ13" t="str">
            <v>Brass</v>
          </cell>
          <cell r="AK13" t="str">
            <v>KuSto-EDE lack</v>
          </cell>
          <cell r="AL13">
            <v>40</v>
          </cell>
          <cell r="AM13" t="str">
            <v>top-capped</v>
          </cell>
          <cell r="AN13" t="str">
            <v>S</v>
          </cell>
          <cell r="AP13" t="str">
            <v>E0_CF_E</v>
          </cell>
          <cell r="AS13" t="str">
            <v>P(u)</v>
          </cell>
          <cell r="AT13" t="str">
            <v>VL,VR,HR</v>
          </cell>
          <cell r="AU13" t="str">
            <v>GeR/BR</v>
          </cell>
          <cell r="AW13">
            <v>24</v>
          </cell>
          <cell r="AZ13" t="str">
            <v>X(a) 3,2</v>
          </cell>
          <cell r="BB13" t="str">
            <v>3DM</v>
          </cell>
          <cell r="BD13" t="str">
            <v>X</v>
          </cell>
          <cell r="BF13">
            <v>2.6</v>
          </cell>
          <cell r="BH13">
            <v>3.6</v>
          </cell>
          <cell r="BJ13">
            <v>1.5</v>
          </cell>
          <cell r="BK13" t="str">
            <v>X</v>
          </cell>
          <cell r="BL13">
            <v>2.8</v>
          </cell>
          <cell r="BM13" t="str">
            <v>X</v>
          </cell>
          <cell r="BN13" t="str">
            <v>X e</v>
          </cell>
          <cell r="BO13" t="str">
            <v>BO-Lamp</v>
          </cell>
          <cell r="BP13" t="str">
            <v>X</v>
          </cell>
          <cell r="BQ13">
            <v>2.8</v>
          </cell>
          <cell r="CA13" t="str">
            <v>RU,DEN,SEN</v>
          </cell>
          <cell r="CC13" t="str">
            <v>RU,SE</v>
          </cell>
          <cell r="CI13" t="str">
            <v>BS</v>
          </cell>
          <cell r="CJ13">
            <v>2.4</v>
          </cell>
          <cell r="CK13" t="str">
            <v>1,RF</v>
          </cell>
          <cell r="CL13" t="str">
            <v>HE</v>
          </cell>
          <cell r="CV13">
            <v>50</v>
          </cell>
          <cell r="CZ13" t="str">
            <v>L</v>
          </cell>
          <cell r="DA13" t="str">
            <v>1norm, 1halo</v>
          </cell>
          <cell r="DB13">
            <v>25</v>
          </cell>
          <cell r="DC13" t="str">
            <v>T</v>
          </cell>
          <cell r="DD13" t="str">
            <v>light button + AS</v>
          </cell>
          <cell r="DF13" t="str">
            <v>U</v>
          </cell>
          <cell r="DH13" t="str">
            <v>VT-N</v>
          </cell>
          <cell r="DJ13" t="str">
            <v>norm</v>
          </cell>
          <cell r="DM13" t="str">
            <v>VO</v>
          </cell>
          <cell r="DO13" t="str">
            <v>Pyro &lt; 60 °C</v>
          </cell>
          <cell r="DQ13" t="str">
            <v>G,ML</v>
          </cell>
          <cell r="DU13">
            <v>4</v>
          </cell>
          <cell r="DY13" t="str">
            <v>A (-30%)</v>
          </cell>
          <cell r="DZ13">
            <v>300</v>
          </cell>
          <cell r="EA13" t="str">
            <v>max</v>
          </cell>
          <cell r="EB13" t="str">
            <v>230V</v>
          </cell>
          <cell r="EC13" t="str">
            <v>3~/2~</v>
          </cell>
          <cell r="ED13">
            <v>2.75</v>
          </cell>
          <cell r="EF13" t="str">
            <v>_EL-S4</v>
          </cell>
          <cell r="EH13">
            <v>3.3</v>
          </cell>
          <cell r="EI13">
            <v>120</v>
          </cell>
          <cell r="EJ13" t="str">
            <v>EU</v>
          </cell>
          <cell r="EO13" t="str">
            <v>2 (AU)</v>
          </cell>
        </row>
        <row r="14">
          <cell r="A14" t="str">
            <v>CH-Progr.</v>
          </cell>
          <cell r="E14" t="str">
            <v>ESMDDTS</v>
          </cell>
          <cell r="H14" t="str">
            <v>JU</v>
          </cell>
          <cell r="I14" t="str">
            <v>FTH</v>
          </cell>
          <cell r="M14" t="str">
            <v>IC5-96</v>
          </cell>
          <cell r="O14" t="str">
            <v>K-HE</v>
          </cell>
          <cell r="S14" t="str">
            <v>59,4 x 59,5 x 51,5</v>
          </cell>
          <cell r="U14" t="str">
            <v>GRA</v>
          </cell>
          <cell r="V14" t="str">
            <v>B2</v>
          </cell>
          <cell r="W14" t="str">
            <v>Top</v>
          </cell>
          <cell r="X14" t="str">
            <v>WE</v>
          </cell>
          <cell r="Z14" t="str">
            <v>P</v>
          </cell>
          <cell r="AC14" t="str">
            <v>BG1</v>
          </cell>
          <cell r="AD14" t="str">
            <v>SB</v>
          </cell>
          <cell r="AE14" t="str">
            <v>EDE</v>
          </cell>
          <cell r="AG14" t="str">
            <v>4x knob3 (RK4), 1x knob4 (RK6a)</v>
          </cell>
          <cell r="AI14" t="str">
            <v>D,RD,V,BL</v>
          </cell>
          <cell r="AJ14" t="str">
            <v>EDE</v>
          </cell>
          <cell r="AK14" t="str">
            <v>KuSto-SCH</v>
          </cell>
          <cell r="AN14" t="str">
            <v>X</v>
          </cell>
          <cell r="AP14" t="str">
            <v>E0_CF_M</v>
          </cell>
          <cell r="AU14" t="str">
            <v>grün</v>
          </cell>
          <cell r="AW14">
            <v>40</v>
          </cell>
          <cell r="AZ14" t="str">
            <v>X(a) 3,4</v>
          </cell>
          <cell r="BB14" t="str">
            <v>3DM-O</v>
          </cell>
          <cell r="BF14">
            <v>2.8</v>
          </cell>
          <cell r="BH14" t="str">
            <v>X</v>
          </cell>
          <cell r="BJ14" t="str">
            <v>X</v>
          </cell>
          <cell r="BK14">
            <v>2.7</v>
          </cell>
          <cell r="BL14" t="str">
            <v>X</v>
          </cell>
          <cell r="BN14" t="str">
            <v>X m</v>
          </cell>
          <cell r="BO14" t="str">
            <v>X</v>
          </cell>
          <cell r="BQ14" t="str">
            <v>X</v>
          </cell>
          <cell r="CA14" t="str">
            <v>RU,SE</v>
          </cell>
          <cell r="CC14" t="str">
            <v>SE</v>
          </cell>
          <cell r="CI14" t="str">
            <v>NA,1</v>
          </cell>
          <cell r="CJ14">
            <v>3.4</v>
          </cell>
          <cell r="CL14" t="str">
            <v>A</v>
          </cell>
          <cell r="CV14">
            <v>56</v>
          </cell>
          <cell r="CZ14" t="str">
            <v>L,HL</v>
          </cell>
          <cell r="DA14" t="str">
            <v>2halo</v>
          </cell>
          <cell r="DB14">
            <v>25.25</v>
          </cell>
          <cell r="DC14" t="str">
            <v>T,D</v>
          </cell>
          <cell r="DD14" t="str">
            <v>LM</v>
          </cell>
          <cell r="DF14" t="str">
            <v>V</v>
          </cell>
          <cell r="DM14" t="str">
            <v>VT</v>
          </cell>
          <cell r="DQ14" t="str">
            <v>ME</v>
          </cell>
          <cell r="DU14" t="str">
            <v>1,a</v>
          </cell>
          <cell r="DZ14" t="str">
            <v>max</v>
          </cell>
          <cell r="EA14" t="str">
            <v>med</v>
          </cell>
          <cell r="EB14" t="str">
            <v>230-240V</v>
          </cell>
          <cell r="EC14" t="str">
            <v>3N~/2N~/1N~</v>
          </cell>
          <cell r="ED14">
            <v>2.8</v>
          </cell>
          <cell r="EF14" t="str">
            <v>HA5HB33</v>
          </cell>
          <cell r="EH14">
            <v>3.45</v>
          </cell>
          <cell r="EI14">
            <v>145</v>
          </cell>
          <cell r="EJ14" t="str">
            <v>EU,extra</v>
          </cell>
          <cell r="EO14" t="str">
            <v>1 (GB)</v>
          </cell>
        </row>
        <row r="15">
          <cell r="A15" t="str">
            <v>CN-Progr.</v>
          </cell>
          <cell r="E15" t="str">
            <v>ESMTFT</v>
          </cell>
          <cell r="H15" t="str">
            <v>KO</v>
          </cell>
          <cell r="I15" t="str">
            <v>Teka</v>
          </cell>
          <cell r="M15" t="str">
            <v>ICC5-O</v>
          </cell>
          <cell r="S15" t="str">
            <v>59,4 x 59,5 x 55</v>
          </cell>
          <cell r="U15" t="str">
            <v>EDE</v>
          </cell>
          <cell r="V15" t="str">
            <v>B2a</v>
          </cell>
          <cell r="Z15" t="str">
            <v>SAP</v>
          </cell>
          <cell r="AC15" t="str">
            <v>BG2</v>
          </cell>
          <cell r="AE15" t="str">
            <v>GOLD</v>
          </cell>
          <cell r="AG15" t="str">
            <v>BK0</v>
          </cell>
          <cell r="AI15" t="str">
            <v>D,SK</v>
          </cell>
          <cell r="AJ15" t="str">
            <v>EDE Ros.schw.</v>
          </cell>
          <cell r="AK15" t="str">
            <v>KuSto-SCH+cap</v>
          </cell>
          <cell r="AP15" t="str">
            <v>E0_CF_poly</v>
          </cell>
          <cell r="AU15" t="str">
            <v>grün/rot</v>
          </cell>
          <cell r="AW15">
            <v>68</v>
          </cell>
          <cell r="AZ15" t="str">
            <v>X(a) 3,6</v>
          </cell>
          <cell r="BB15" t="str">
            <v>3DT</v>
          </cell>
          <cell r="BF15" t="str">
            <v>X</v>
          </cell>
          <cell r="BL15">
            <v>2.7</v>
          </cell>
          <cell r="BN15">
            <v>2.6</v>
          </cell>
          <cell r="CA15" t="str">
            <v>RU,SEN</v>
          </cell>
          <cell r="CI15" t="str">
            <v>NA,1,RF</v>
          </cell>
          <cell r="CV15">
            <v>57</v>
          </cell>
          <cell r="CZ15" t="str">
            <v>LR</v>
          </cell>
          <cell r="DA15" t="str">
            <v>2norm</v>
          </cell>
          <cell r="DB15">
            <v>40</v>
          </cell>
          <cell r="DC15" t="str">
            <v>T,F</v>
          </cell>
          <cell r="DF15" t="str">
            <v>VD</v>
          </cell>
          <cell r="DM15" t="str">
            <v>VT-N</v>
          </cell>
          <cell r="DQ15" t="str">
            <v>ML</v>
          </cell>
          <cell r="DU15" t="str">
            <v>1,b</v>
          </cell>
          <cell r="EB15" t="str">
            <v>240V</v>
          </cell>
          <cell r="ED15">
            <v>2.85</v>
          </cell>
          <cell r="EF15" t="str">
            <v>HA5HB38</v>
          </cell>
          <cell r="EH15">
            <v>3.5</v>
          </cell>
          <cell r="EI15">
            <v>150</v>
          </cell>
          <cell r="EJ15" t="str">
            <v>IL</v>
          </cell>
          <cell r="EO15" t="str">
            <v>2 (GB)</v>
          </cell>
        </row>
        <row r="16">
          <cell r="A16" t="str">
            <v>DE-Ce-Mittelstandskreis</v>
          </cell>
          <cell r="E16" t="str">
            <v>ESMTFTDD</v>
          </cell>
          <cell r="H16" t="str">
            <v>NF</v>
          </cell>
          <cell r="I16" t="str">
            <v>Terim</v>
          </cell>
          <cell r="M16" t="str">
            <v>Teka</v>
          </cell>
          <cell r="S16" t="str">
            <v>59,5 x 41,6 x 51,5</v>
          </cell>
          <cell r="U16" t="str">
            <v>QUA</v>
          </cell>
          <cell r="V16" t="str">
            <v>B3</v>
          </cell>
          <cell r="Z16" t="str">
            <v>SBE</v>
          </cell>
          <cell r="AC16" t="str">
            <v>BG3</v>
          </cell>
          <cell r="AE16" t="str">
            <v>SCH</v>
          </cell>
          <cell r="AG16" t="str">
            <v>BK1</v>
          </cell>
          <cell r="AI16" t="str">
            <v>D,V</v>
          </cell>
          <cell r="AJ16" t="str">
            <v>GOLD</v>
          </cell>
          <cell r="AK16" t="str">
            <v>KuSto-WEI</v>
          </cell>
          <cell r="AP16" t="str">
            <v>E0_CI</v>
          </cell>
          <cell r="AU16" t="str">
            <v>Polybox</v>
          </cell>
          <cell r="AW16">
            <v>85</v>
          </cell>
          <cell r="AZ16" t="str">
            <v>X(m)</v>
          </cell>
          <cell r="BB16" t="str">
            <v>3DT-O</v>
          </cell>
          <cell r="CA16" t="str">
            <v>SE</v>
          </cell>
          <cell r="CI16" t="str">
            <v>NA,2</v>
          </cell>
          <cell r="CV16">
            <v>58</v>
          </cell>
          <cell r="CZ16" t="str">
            <v>LR,L</v>
          </cell>
          <cell r="DB16">
            <v>40.25</v>
          </cell>
          <cell r="DC16" t="str">
            <v>T,L</v>
          </cell>
          <cell r="DQ16" t="str">
            <v>SE</v>
          </cell>
          <cell r="DU16" t="str">
            <v>1,r</v>
          </cell>
          <cell r="EB16" t="str">
            <v>400V</v>
          </cell>
          <cell r="ED16">
            <v>2.9</v>
          </cell>
          <cell r="EF16" t="str">
            <v>HA5HE23</v>
          </cell>
          <cell r="EH16">
            <v>3.6</v>
          </cell>
          <cell r="EI16" t="str">
            <v>120KGA</v>
          </cell>
          <cell r="EJ16" t="str">
            <v>Norwesco</v>
          </cell>
        </row>
        <row r="17">
          <cell r="A17" t="str">
            <v>CZ-Progr.</v>
          </cell>
          <cell r="E17" t="str">
            <v>ESMTFTDDTS</v>
          </cell>
          <cell r="H17" t="str">
            <v>PR</v>
          </cell>
          <cell r="I17" t="str">
            <v>VZUG</v>
          </cell>
          <cell r="M17" t="str">
            <v>Terim</v>
          </cell>
          <cell r="S17" t="str">
            <v>59,5 x 59,5 x 51,5</v>
          </cell>
          <cell r="U17" t="str">
            <v>SCH</v>
          </cell>
          <cell r="V17" t="str">
            <v>B4</v>
          </cell>
          <cell r="Z17" t="str">
            <v>UAP</v>
          </cell>
          <cell r="AC17" t="str">
            <v>BNosti</v>
          </cell>
          <cell r="AE17" t="str">
            <v>WEI</v>
          </cell>
          <cell r="AG17" t="str">
            <v>BK2</v>
          </cell>
          <cell r="AI17" t="str">
            <v>D,V,BL</v>
          </cell>
          <cell r="AJ17" t="str">
            <v>SCH</v>
          </cell>
          <cell r="AK17" t="str">
            <v>KuSto-WEI+cap</v>
          </cell>
          <cell r="AP17" t="str">
            <v>E0_CIF</v>
          </cell>
          <cell r="AU17" t="str">
            <v>RR/GeR</v>
          </cell>
          <cell r="AW17" t="str">
            <v>26+14</v>
          </cell>
          <cell r="AZ17" t="str">
            <v>X(m) 2,7</v>
          </cell>
          <cell r="BB17" t="str">
            <v>c1</v>
          </cell>
          <cell r="CA17" t="str">
            <v>SEN</v>
          </cell>
          <cell r="CI17" t="str">
            <v>NA,2,RF</v>
          </cell>
          <cell r="CV17">
            <v>59</v>
          </cell>
          <cell r="CZ17" t="str">
            <v>LR,NL</v>
          </cell>
          <cell r="DB17" t="str">
            <v>40,20,20</v>
          </cell>
          <cell r="DQ17" t="str">
            <v>SP</v>
          </cell>
          <cell r="DU17" t="str">
            <v>1/in Display</v>
          </cell>
          <cell r="ED17">
            <v>3.3</v>
          </cell>
          <cell r="EF17" t="str">
            <v>HA5HE38</v>
          </cell>
          <cell r="EH17">
            <v>3.65</v>
          </cell>
          <cell r="EI17" t="str">
            <v>150KGA</v>
          </cell>
          <cell r="EJ17" t="str">
            <v>SchuKo</v>
          </cell>
        </row>
        <row r="18">
          <cell r="A18" t="str">
            <v>DE-Progr.</v>
          </cell>
          <cell r="E18" t="str">
            <v>ESMTFTTS</v>
          </cell>
          <cell r="H18" t="str">
            <v>PI</v>
          </cell>
          <cell r="M18" t="str">
            <v>V-Zug</v>
          </cell>
          <cell r="S18" t="str">
            <v>59,5 x 59,5 x 54,8</v>
          </cell>
          <cell r="U18" t="str">
            <v>SBRA</v>
          </cell>
          <cell r="V18" t="str">
            <v>B4a</v>
          </cell>
          <cell r="Z18" t="str">
            <v>UAP/LI</v>
          </cell>
          <cell r="AC18" t="str">
            <v>CO-IC3</v>
          </cell>
          <cell r="AG18" t="str">
            <v>BK3</v>
          </cell>
          <cell r="AI18" t="str">
            <v>D,V,MD</v>
          </cell>
          <cell r="AJ18" t="str">
            <v>WEI</v>
          </cell>
          <cell r="AK18" t="str">
            <v>SCH</v>
          </cell>
          <cell r="AP18" t="str">
            <v>E0_CIF*</v>
          </cell>
          <cell r="AU18" t="str">
            <v>RR/GeR/BR</v>
          </cell>
          <cell r="AW18" t="str">
            <v>54+14</v>
          </cell>
          <cell r="AZ18" t="str">
            <v>X(m) 3,2</v>
          </cell>
          <cell r="BB18" t="str">
            <v>c2</v>
          </cell>
          <cell r="CI18" t="str">
            <v>NA,2 (AU)</v>
          </cell>
          <cell r="CV18">
            <v>60</v>
          </cell>
          <cell r="DQ18" t="str">
            <v>EG</v>
          </cell>
          <cell r="DU18" t="str">
            <v>2,a</v>
          </cell>
          <cell r="ED18">
            <v>3.5</v>
          </cell>
          <cell r="EF18" t="str">
            <v>HMD5331</v>
          </cell>
          <cell r="EH18">
            <v>3.68</v>
          </cell>
          <cell r="EJ18" t="str">
            <v>SchuKo,extra</v>
          </cell>
        </row>
        <row r="19">
          <cell r="A19" t="str">
            <v>DE_EFH</v>
          </cell>
          <cell r="E19" t="str">
            <v>ESMTS</v>
          </cell>
          <cell r="H19" t="str">
            <v>SE</v>
          </cell>
          <cell r="M19" t="str">
            <v>YYY</v>
          </cell>
          <cell r="S19" t="str">
            <v>59,5 x 59,5 x 55</v>
          </cell>
          <cell r="U19" t="str">
            <v>SPI</v>
          </cell>
          <cell r="V19" t="str">
            <v>B5</v>
          </cell>
          <cell r="Z19" t="str">
            <v>UBA</v>
          </cell>
          <cell r="AC19" t="str">
            <v>Einstiegsgriff</v>
          </cell>
          <cell r="AG19" t="str">
            <v>BK4</v>
          </cell>
          <cell r="AI19" t="str">
            <v>RD</v>
          </cell>
          <cell r="AK19" t="str">
            <v>VM</v>
          </cell>
          <cell r="AP19" t="str">
            <v>E0_CIF_A</v>
          </cell>
          <cell r="AU19" t="str">
            <v>ultramarinblau</v>
          </cell>
          <cell r="BB19" t="str">
            <v>c3</v>
          </cell>
          <cell r="CI19" t="str">
            <v>NA,3</v>
          </cell>
          <cell r="CV19">
            <v>61</v>
          </cell>
          <cell r="DU19" t="str">
            <v>2,b</v>
          </cell>
          <cell r="ED19">
            <v>3.57</v>
          </cell>
          <cell r="EF19" t="str">
            <v>HMD5439</v>
          </cell>
          <cell r="EH19">
            <v>8</v>
          </cell>
          <cell r="EJ19" t="str">
            <v>SchuKo-/Gardy.m.Erdung</v>
          </cell>
        </row>
        <row r="20">
          <cell r="A20" t="str">
            <v>DE-MC</v>
          </cell>
          <cell r="E20" t="str">
            <v>ESMUI</v>
          </cell>
          <cell r="H20" t="str">
            <v>THD</v>
          </cell>
          <cell r="S20" t="str">
            <v>89,2 x 48,0 x 54,9</v>
          </cell>
          <cell r="U20" t="str">
            <v>WEI</v>
          </cell>
          <cell r="V20" t="str">
            <v>B6</v>
          </cell>
          <cell r="Z20" t="str">
            <v>UBE</v>
          </cell>
          <cell r="AC20" t="str">
            <v>Nostalgie</v>
          </cell>
          <cell r="AG20" t="str">
            <v>BK5</v>
          </cell>
          <cell r="AI20" t="str">
            <v>SK</v>
          </cell>
          <cell r="AP20" t="str">
            <v>E0_CIF_A_poly</v>
          </cell>
          <cell r="AU20" t="str">
            <v>V-Zug</v>
          </cell>
          <cell r="BB20" t="str">
            <v>c4</v>
          </cell>
          <cell r="CI20" t="str">
            <v>NA,3,RF</v>
          </cell>
          <cell r="CV20">
            <v>62</v>
          </cell>
          <cell r="DU20" t="str">
            <v>2,r</v>
          </cell>
          <cell r="ED20" t="str">
            <v>3,58 kW</v>
          </cell>
          <cell r="EF20" t="str">
            <v>HMD5459</v>
          </cell>
          <cell r="EH20">
            <v>9.9</v>
          </cell>
        </row>
        <row r="21">
          <cell r="A21" t="str">
            <v>DE-MK</v>
          </cell>
          <cell r="E21" t="str">
            <v>ESMUIDD</v>
          </cell>
          <cell r="H21" t="str">
            <v>VI</v>
          </cell>
          <cell r="S21" t="str">
            <v>89,4 x 47,4 x 54,5</v>
          </cell>
          <cell r="V21" t="str">
            <v>BN1</v>
          </cell>
          <cell r="Z21" t="str">
            <v>UFB</v>
          </cell>
          <cell r="AC21" t="str">
            <v>S1</v>
          </cell>
          <cell r="AG21" t="str">
            <v>BK6</v>
          </cell>
          <cell r="AI21" t="str">
            <v>TC</v>
          </cell>
          <cell r="AP21" t="str">
            <v>E0_CIF_E</v>
          </cell>
          <cell r="BB21" t="str">
            <v>DUO10</v>
          </cell>
          <cell r="CI21" t="str">
            <v>NA,3 (AU)</v>
          </cell>
          <cell r="CV21">
            <v>63</v>
          </cell>
          <cell r="DU21" t="str">
            <v>3,a</v>
          </cell>
          <cell r="ED21">
            <v>3.6</v>
          </cell>
          <cell r="EF21" t="str">
            <v>HT5HB10</v>
          </cell>
          <cell r="EH21">
            <v>10.1</v>
          </cell>
        </row>
        <row r="22">
          <cell r="A22" t="str">
            <v>ES-Progr.</v>
          </cell>
          <cell r="E22" t="str">
            <v>ESMUIDDTS</v>
          </cell>
          <cell r="H22" t="str">
            <v>GG</v>
          </cell>
          <cell r="V22" t="str">
            <v>BN2</v>
          </cell>
          <cell r="AC22" t="str">
            <v>S1,  black padestal</v>
          </cell>
          <cell r="AG22" t="str">
            <v>BK6-</v>
          </cell>
          <cell r="AI22" t="str">
            <v>WA</v>
          </cell>
          <cell r="AP22" t="str">
            <v>E0_CIF_E*</v>
          </cell>
          <cell r="BB22" t="str">
            <v>DUO12</v>
          </cell>
          <cell r="CI22" t="str">
            <v>UA,3</v>
          </cell>
          <cell r="CV22">
            <v>64</v>
          </cell>
          <cell r="DU22" t="str">
            <v>3,b</v>
          </cell>
          <cell r="ED22">
            <v>3.65</v>
          </cell>
          <cell r="EF22" t="str">
            <v>HT5HB33</v>
          </cell>
          <cell r="EH22">
            <v>10.3</v>
          </cell>
        </row>
        <row r="23">
          <cell r="A23" t="str">
            <v>EU-Linie</v>
          </cell>
          <cell r="E23" t="str">
            <v>N13</v>
          </cell>
          <cell r="V23" t="str">
            <v>CCL</v>
          </cell>
          <cell r="AC23" t="str">
            <v>SG1</v>
          </cell>
          <cell r="AG23" t="str">
            <v>BKNosti</v>
          </cell>
          <cell r="AP23" t="str">
            <v>E0_CIF_poly</v>
          </cell>
          <cell r="BB23" t="str">
            <v>DUO13</v>
          </cell>
          <cell r="CI23" t="str">
            <v>UA,3(AU)</v>
          </cell>
          <cell r="CV23">
            <v>65</v>
          </cell>
          <cell r="DU23" t="str">
            <v>3,r</v>
          </cell>
          <cell r="ED23">
            <v>3.7</v>
          </cell>
          <cell r="EF23" t="str">
            <v>HT5HB38</v>
          </cell>
          <cell r="EH23">
            <v>10.4</v>
          </cell>
        </row>
        <row r="24">
          <cell r="A24" t="str">
            <v>FR-Linie</v>
          </cell>
          <cell r="E24" t="str">
            <v>N13_SI</v>
          </cell>
          <cell r="V24" t="str">
            <v>CCO</v>
          </cell>
          <cell r="AC24" t="str">
            <v>SG2</v>
          </cell>
          <cell r="AG24" t="str">
            <v>BY/Pitsos</v>
          </cell>
          <cell r="AP24" t="str">
            <v>E0_MCIF_M</v>
          </cell>
          <cell r="BB24" t="str">
            <v>DUO14</v>
          </cell>
          <cell r="CI24" t="str">
            <v>UA,3(AU),RF</v>
          </cell>
          <cell r="CV24">
            <v>66</v>
          </cell>
          <cell r="DU24" t="str">
            <v>4,b</v>
          </cell>
          <cell r="ED24">
            <v>9.8000000000000007</v>
          </cell>
          <cell r="EF24" t="str">
            <v>HT5HB3896</v>
          </cell>
          <cell r="EH24">
            <v>10.7</v>
          </cell>
        </row>
        <row r="25">
          <cell r="A25" t="str">
            <v>FR-Progr.</v>
          </cell>
          <cell r="E25" t="str">
            <v>N13_SI_ESM</v>
          </cell>
          <cell r="V25" t="str">
            <v>CFcolor</v>
          </cell>
          <cell r="AC25" t="str">
            <v>SG3</v>
          </cell>
          <cell r="AG25" t="str">
            <v>Click wheel</v>
          </cell>
          <cell r="AP25" t="str">
            <v>E0_TiF</v>
          </cell>
          <cell r="BB25" t="str">
            <v>DUO6</v>
          </cell>
          <cell r="CI25" t="str">
            <v>UA,3,RF</v>
          </cell>
          <cell r="CV25">
            <v>67</v>
          </cell>
          <cell r="DU25" t="str">
            <v>4,r</v>
          </cell>
          <cell r="ED25">
            <v>9.9</v>
          </cell>
          <cell r="EF25" t="str">
            <v>HT5HBP7</v>
          </cell>
          <cell r="EH25">
            <v>11.45</v>
          </cell>
        </row>
        <row r="26">
          <cell r="A26" t="str">
            <v>FR_Sonder</v>
          </cell>
          <cell r="E26" t="str">
            <v>N13_SI_ESM_DD</v>
          </cell>
          <cell r="V26" t="str">
            <v>CFg</v>
          </cell>
          <cell r="AC26" t="str">
            <v>SG4</v>
          </cell>
          <cell r="AG26" t="str">
            <v>Facette</v>
          </cell>
          <cell r="AP26" t="str">
            <v>E0_TiIF</v>
          </cell>
          <cell r="BB26" t="str">
            <v>DUO8</v>
          </cell>
          <cell r="CV26">
            <v>68</v>
          </cell>
          <cell r="DU26" t="str">
            <v>in Display</v>
          </cell>
          <cell r="ED26">
            <v>10.1</v>
          </cell>
          <cell r="EF26" t="str">
            <v>HT5HBPT</v>
          </cell>
          <cell r="EH26">
            <v>11.5</v>
          </cell>
        </row>
        <row r="27">
          <cell r="A27" t="str">
            <v>GB-Exklusives</v>
          </cell>
          <cell r="V27" t="str">
            <v>CFm</v>
          </cell>
          <cell r="AC27" t="str">
            <v>Topgriff</v>
          </cell>
          <cell r="AG27" t="str">
            <v>Facette LI</v>
          </cell>
          <cell r="AP27" t="str">
            <v>E0_TiIF*</v>
          </cell>
          <cell r="BB27" t="str">
            <v>DUO9</v>
          </cell>
          <cell r="CV27">
            <v>71</v>
          </cell>
          <cell r="DU27" t="str">
            <v>in Display/1</v>
          </cell>
          <cell r="ED27">
            <v>10.3</v>
          </cell>
          <cell r="EF27" t="str">
            <v>HT5HE10</v>
          </cell>
        </row>
        <row r="28">
          <cell r="A28" t="str">
            <v>GB-Linie</v>
          </cell>
          <cell r="V28" t="str">
            <v>CTL</v>
          </cell>
          <cell r="AC28" t="str">
            <v>BY-Combiflat</v>
          </cell>
          <cell r="AG28" t="str">
            <v>IC2.5</v>
          </cell>
          <cell r="AP28" t="str">
            <v>E3</v>
          </cell>
          <cell r="BB28" t="str">
            <v>H</v>
          </cell>
          <cell r="CV28">
            <v>72</v>
          </cell>
          <cell r="ED28">
            <v>10.8</v>
          </cell>
          <cell r="EF28" t="str">
            <v>HT5HE23</v>
          </cell>
        </row>
        <row r="29">
          <cell r="A29" t="str">
            <v>GB-Master</v>
          </cell>
          <cell r="V29" t="str">
            <v>DUO</v>
          </cell>
          <cell r="AC29" t="str">
            <v>BY-lateral Combiflat</v>
          </cell>
          <cell r="AG29" t="str">
            <v>JU-IC5</v>
          </cell>
          <cell r="AP29" t="str">
            <v>E3-</v>
          </cell>
          <cell r="BB29" t="str">
            <v>h1</v>
          </cell>
          <cell r="CV29">
            <v>75</v>
          </cell>
          <cell r="ED29">
            <v>11.2</v>
          </cell>
          <cell r="EF29" t="str">
            <v>HT5HE33</v>
          </cell>
        </row>
        <row r="30">
          <cell r="A30" t="str">
            <v>GB-Progr.</v>
          </cell>
          <cell r="V30" t="str">
            <v>Fusion</v>
          </cell>
          <cell r="AC30" t="str">
            <v>BY-MyBalay</v>
          </cell>
          <cell r="AG30" t="str">
            <v>knob1</v>
          </cell>
          <cell r="AP30" t="str">
            <v>E3_CF</v>
          </cell>
          <cell r="BB30" t="str">
            <v>h2</v>
          </cell>
          <cell r="CV30">
            <v>32</v>
          </cell>
          <cell r="ED30">
            <v>11.4</v>
          </cell>
          <cell r="EF30" t="str">
            <v>HT5HE38</v>
          </cell>
        </row>
        <row r="31">
          <cell r="A31" t="str">
            <v>GCC-Progr.</v>
          </cell>
          <cell r="V31" t="str">
            <v>Glass</v>
          </cell>
          <cell r="AC31" t="str">
            <v>BY-P4</v>
          </cell>
          <cell r="AG31" t="str">
            <v>knob1 (RK2a)</v>
          </cell>
          <cell r="AP31" t="str">
            <v>E3_CF_M</v>
          </cell>
          <cell r="BB31" t="str">
            <v>h3</v>
          </cell>
          <cell r="ED31">
            <v>11.6</v>
          </cell>
          <cell r="EF31" t="str">
            <v>HT5HEP6</v>
          </cell>
        </row>
        <row r="32">
          <cell r="A32" t="str">
            <v>GR-Progr.</v>
          </cell>
          <cell r="V32" t="str">
            <v>HB</v>
          </cell>
          <cell r="AC32" t="str">
            <v>Constructa</v>
          </cell>
          <cell r="AG32" t="str">
            <v>knob2</v>
          </cell>
          <cell r="AP32" t="str">
            <v>E3_CIF</v>
          </cell>
          <cell r="BB32" t="str">
            <v>h6</v>
          </cell>
          <cell r="ED32" t="str">
            <v>2,15 kW</v>
          </cell>
          <cell r="EF32" t="str">
            <v>HT5HEP7</v>
          </cell>
        </row>
        <row r="33">
          <cell r="A33" t="str">
            <v>IL-Progr.</v>
          </cell>
          <cell r="V33" t="str">
            <v>Metal</v>
          </cell>
          <cell r="AG33" t="str">
            <v>knob2 (RK2b)</v>
          </cell>
          <cell r="AP33" t="str">
            <v>E3_CIF*</v>
          </cell>
          <cell r="BB33" t="str">
            <v>H-O</v>
          </cell>
          <cell r="ED33" t="str">
            <v>2,20 kW</v>
          </cell>
          <cell r="EF33" t="str">
            <v>HTHB77s</v>
          </cell>
        </row>
        <row r="34">
          <cell r="A34" t="str">
            <v>IT-Progr.</v>
          </cell>
          <cell r="V34" t="str">
            <v>N10</v>
          </cell>
          <cell r="AG34" t="str">
            <v>knob3</v>
          </cell>
          <cell r="AP34" t="str">
            <v>E3_Click</v>
          </cell>
          <cell r="BB34" t="str">
            <v>K</v>
          </cell>
          <cell r="ED34" t="str">
            <v>2,30 kW</v>
          </cell>
          <cell r="EF34" t="str">
            <v>HT5HBPN</v>
          </cell>
        </row>
        <row r="35">
          <cell r="A35" t="str">
            <v>Junker</v>
          </cell>
          <cell r="V35" t="str">
            <v>N20</v>
          </cell>
          <cell r="AG35" t="str">
            <v>knob3 (RK4)</v>
          </cell>
          <cell r="AP35" t="str">
            <v>E3_CoT</v>
          </cell>
          <cell r="BB35" t="str">
            <v>m1</v>
          </cell>
          <cell r="ED35" t="str">
            <v>2,68 kW</v>
          </cell>
          <cell r="EF35" t="str">
            <v>HT5HEPN</v>
          </cell>
        </row>
        <row r="36">
          <cell r="A36" t="str">
            <v>KFM</v>
          </cell>
          <cell r="V36" t="str">
            <v>N40</v>
          </cell>
          <cell r="AG36" t="str">
            <v>knob4</v>
          </cell>
          <cell r="AP36" t="str">
            <v>E3_CT</v>
          </cell>
          <cell r="BB36" t="str">
            <v>m2</v>
          </cell>
          <cell r="ED36" t="str">
            <v>2,88 kW</v>
          </cell>
          <cell r="EF36" t="str">
            <v>HBB-AP71-4B</v>
          </cell>
        </row>
        <row r="37">
          <cell r="A37" t="str">
            <v>KFM - Nobilia</v>
          </cell>
          <cell r="V37" t="str">
            <v>Nostalgie</v>
          </cell>
          <cell r="AG37" t="str">
            <v>knob4 (RK6a)</v>
          </cell>
          <cell r="AP37" t="str">
            <v>E3_CTF</v>
          </cell>
          <cell r="BB37" t="str">
            <v>m3</v>
          </cell>
          <cell r="ED37" t="str">
            <v>2,95 kW</v>
          </cell>
          <cell r="EF37" t="str">
            <v>HBB-AP71-5B</v>
          </cell>
        </row>
        <row r="38">
          <cell r="A38" t="str">
            <v>MSH-Progr.</v>
          </cell>
          <cell r="V38" t="str">
            <v>OEM</v>
          </cell>
          <cell r="AG38" t="str">
            <v>knobN</v>
          </cell>
          <cell r="AP38" t="str">
            <v>E3_MCT</v>
          </cell>
          <cell r="BB38" t="str">
            <v>m4</v>
          </cell>
          <cell r="ED38" t="str">
            <v>3,38 kW</v>
          </cell>
          <cell r="EF38" t="str">
            <v>HBB-AP71-7B</v>
          </cell>
        </row>
        <row r="39">
          <cell r="A39" t="str">
            <v>MY-Progr.</v>
          </cell>
          <cell r="V39" t="str">
            <v>S0</v>
          </cell>
          <cell r="AG39" t="str">
            <v>LY-knob</v>
          </cell>
          <cell r="AP39" t="str">
            <v>E3_MCT_G</v>
          </cell>
          <cell r="BB39" t="str">
            <v>m5</v>
          </cell>
          <cell r="ED39" t="str">
            <v>3,45 kW</v>
          </cell>
          <cell r="EF39" t="str">
            <v>HICFCB</v>
          </cell>
        </row>
        <row r="40">
          <cell r="A40" t="str">
            <v>Nostalgie</v>
          </cell>
          <cell r="V40" t="str">
            <v>S0a</v>
          </cell>
          <cell r="AG40" t="str">
            <v>new</v>
          </cell>
          <cell r="AP40" t="str">
            <v>E3_MCT_G_M</v>
          </cell>
          <cell r="ED40" t="str">
            <v>3,55 kW</v>
          </cell>
          <cell r="EF40" t="str">
            <v>HICFOB</v>
          </cell>
        </row>
        <row r="41">
          <cell r="A41" t="str">
            <v>NL-Progr.</v>
          </cell>
          <cell r="V41" t="str">
            <v>S1</v>
          </cell>
          <cell r="AG41" t="str">
            <v>Nostalgie</v>
          </cell>
          <cell r="AP41" t="str">
            <v>E3_MCT_G_T</v>
          </cell>
          <cell r="ED41" t="str">
            <v>3,68 kW</v>
          </cell>
          <cell r="EF41" t="str">
            <v>HIEFOB</v>
          </cell>
        </row>
        <row r="42">
          <cell r="A42" t="str">
            <v>O-EU-Progr.</v>
          </cell>
          <cell r="V42" t="str">
            <v>S2</v>
          </cell>
          <cell r="AG42" t="str">
            <v>SE-IC4</v>
          </cell>
          <cell r="AP42" t="str">
            <v>E3_MCT_M</v>
          </cell>
          <cell r="ED42" t="str">
            <v>8,0 kW</v>
          </cell>
          <cell r="EF42" t="str">
            <v>HIFFCB</v>
          </cell>
        </row>
        <row r="43">
          <cell r="A43" t="str">
            <v>PL-Progr.</v>
          </cell>
          <cell r="V43" t="str">
            <v>S2a</v>
          </cell>
          <cell r="AG43" t="str">
            <v>SK0</v>
          </cell>
          <cell r="AP43" t="str">
            <v>E3_MCT_T</v>
          </cell>
          <cell r="ED43" t="str">
            <v>10,2 kW</v>
          </cell>
          <cell r="EF43" t="str">
            <v>HIFFOB</v>
          </cell>
        </row>
        <row r="44">
          <cell r="A44" t="str">
            <v>RO-Progr.</v>
          </cell>
          <cell r="V44" t="str">
            <v>S2b</v>
          </cell>
          <cell r="AG44" t="str">
            <v>SK2</v>
          </cell>
          <cell r="AP44" t="str">
            <v>E3_MCT_X</v>
          </cell>
          <cell r="ED44" t="str">
            <v>10,4 kW</v>
          </cell>
          <cell r="EF44" t="str">
            <v>HILFOB</v>
          </cell>
        </row>
        <row r="45">
          <cell r="A45" t="str">
            <v>RU-Linie</v>
          </cell>
          <cell r="V45" t="str">
            <v>S3</v>
          </cell>
          <cell r="AG45" t="str">
            <v>SK3</v>
          </cell>
          <cell r="AP45" t="str">
            <v>E3_TFT</v>
          </cell>
          <cell r="ED45" t="str">
            <v>11,45 kW</v>
          </cell>
          <cell r="EF45" t="str">
            <v>HIMFCB</v>
          </cell>
        </row>
        <row r="46">
          <cell r="A46" t="str">
            <v>RU-Progr.</v>
          </cell>
          <cell r="V46" t="str">
            <v>S3a</v>
          </cell>
          <cell r="AG46" t="str">
            <v>SK4</v>
          </cell>
          <cell r="AP46" t="str">
            <v>E3_TFT_M</v>
          </cell>
          <cell r="ED46" t="str">
            <v>11,50 kW</v>
          </cell>
          <cell r="EF46" t="str">
            <v>HIMFOB</v>
          </cell>
        </row>
        <row r="47">
          <cell r="A47" t="str">
            <v>SA-Progr.</v>
          </cell>
          <cell r="V47" t="str">
            <v>S3b</v>
          </cell>
          <cell r="AG47" t="str">
            <v>SK5</v>
          </cell>
          <cell r="AP47" t="str">
            <v>E3_TFT_T</v>
          </cell>
          <cell r="EF47" t="str">
            <v>HITFOB</v>
          </cell>
        </row>
        <row r="48">
          <cell r="A48" t="str">
            <v>Tecnik OEM</v>
          </cell>
          <cell r="V48" t="str">
            <v>S4</v>
          </cell>
          <cell r="AG48" t="str">
            <v>SK6</v>
          </cell>
          <cell r="AP48" t="str">
            <v>ME</v>
          </cell>
          <cell r="EF48" t="str">
            <v>HMD2131</v>
          </cell>
        </row>
        <row r="49">
          <cell r="A49" t="str">
            <v>TR-Progr.</v>
          </cell>
          <cell r="V49" t="str">
            <v>S5</v>
          </cell>
          <cell r="AP49" t="str">
            <v>ME_T</v>
          </cell>
          <cell r="EF49" t="str">
            <v>HMD2141</v>
          </cell>
        </row>
        <row r="50">
          <cell r="A50" t="str">
            <v>VNE-Progr.</v>
          </cell>
          <cell r="V50" t="str">
            <v>S5a</v>
          </cell>
          <cell r="AP50" t="str">
            <v>ME_Ti</v>
          </cell>
          <cell r="EF50" t="str">
            <v>HMD2341</v>
          </cell>
        </row>
        <row r="51">
          <cell r="A51" t="str">
            <v>ZAE-Progr.</v>
          </cell>
          <cell r="V51" t="str">
            <v>S6</v>
          </cell>
          <cell r="AP51" t="str">
            <v>ME_Ti_Stop</v>
          </cell>
          <cell r="EF51" t="str">
            <v>HMD5131</v>
          </cell>
        </row>
        <row r="52">
          <cell r="V52" t="str">
            <v>S7</v>
          </cell>
          <cell r="EF52" t="str">
            <v>HMD5139</v>
          </cell>
        </row>
        <row r="53">
          <cell r="EF53" t="str">
            <v>HMD5141</v>
          </cell>
        </row>
        <row r="54">
          <cell r="EF54" t="str">
            <v>HMD5149</v>
          </cell>
        </row>
        <row r="55">
          <cell r="EF55" t="str">
            <v>HMD5339</v>
          </cell>
        </row>
        <row r="56">
          <cell r="EF56" t="str">
            <v>HMD5341</v>
          </cell>
        </row>
        <row r="57">
          <cell r="EF57" t="str">
            <v>HMD5349</v>
          </cell>
        </row>
        <row r="58">
          <cell r="EF58" t="str">
            <v>HMD7431</v>
          </cell>
        </row>
        <row r="59">
          <cell r="EF59" t="str">
            <v>HMD8141</v>
          </cell>
        </row>
        <row r="60">
          <cell r="EF60" t="str">
            <v>HMD8331</v>
          </cell>
        </row>
        <row r="61">
          <cell r="EF61" t="str">
            <v>HMD8341</v>
          </cell>
        </row>
        <row r="62">
          <cell r="EF62" t="str">
            <v>HMJ5538</v>
          </cell>
        </row>
        <row r="63">
          <cell r="EF63" t="str">
            <v>HMJ5638</v>
          </cell>
        </row>
        <row r="64">
          <cell r="EF64" t="str">
            <v>HMJ5738</v>
          </cell>
        </row>
        <row r="65">
          <cell r="EF65" t="str">
            <v>HMJ7532</v>
          </cell>
        </row>
        <row r="66">
          <cell r="EF66" t="str">
            <v>HMJ7638</v>
          </cell>
        </row>
        <row r="67">
          <cell r="EF67" t="str">
            <v>HMJ7732</v>
          </cell>
        </row>
        <row r="68">
          <cell r="EF68" t="str">
            <v>HMJ7838</v>
          </cell>
        </row>
        <row r="69">
          <cell r="EF69" t="str">
            <v>HME2141</v>
          </cell>
        </row>
        <row r="70">
          <cell r="EF70" t="str">
            <v>HME5131</v>
          </cell>
        </row>
        <row r="71">
          <cell r="EF71" t="str">
            <v>HME5331</v>
          </cell>
        </row>
        <row r="72">
          <cell r="EF72" t="str">
            <v>HME5341</v>
          </cell>
        </row>
        <row r="73">
          <cell r="EF73" t="str">
            <v>HME7431</v>
          </cell>
        </row>
        <row r="74">
          <cell r="EF74" t="str">
            <v>HME7441</v>
          </cell>
        </row>
        <row r="75">
          <cell r="EF75" t="str">
            <v>HMG7348</v>
          </cell>
        </row>
        <row r="76">
          <cell r="EF76" t="str">
            <v>HMG7432</v>
          </cell>
        </row>
        <row r="77">
          <cell r="EF77" t="str">
            <v>HMG7438</v>
          </cell>
        </row>
        <row r="78">
          <cell r="EF78" t="str">
            <v>HMG7442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-List"/>
      <sheetName val="Entries"/>
      <sheetName val="Änderungen"/>
      <sheetName val="CancelledPhased-out VIBS"/>
      <sheetName val="VIB_Schlüssel_Neff"/>
      <sheetName val="Pflegephilosopie_DE"/>
      <sheetName val="Pflegephilosopie_EN"/>
    </sheetNames>
    <sheetDataSet>
      <sheetData sheetId="0" refreshError="1"/>
      <sheetData sheetId="1">
        <row r="6">
          <cell r="F6" t="str">
            <v>N13_SI</v>
          </cell>
          <cell r="T6" t="str">
            <v>71,7 x 59,4 x 55</v>
          </cell>
          <cell r="V6" t="str">
            <v>BRA</v>
          </cell>
          <cell r="Z6" t="str">
            <v xml:space="preserve">RO </v>
          </cell>
          <cell r="AI6" t="str">
            <v>BRA</v>
          </cell>
          <cell r="AN6" t="str">
            <v>BRA</v>
          </cell>
          <cell r="AP6">
            <v>30</v>
          </cell>
          <cell r="AR6" t="str">
            <v>X,-</v>
          </cell>
          <cell r="AU6" t="str">
            <v>E0_C</v>
          </cell>
          <cell r="AX6" t="str">
            <v>E3_CT</v>
          </cell>
          <cell r="BA6" t="str">
            <v>X(40)</v>
          </cell>
          <cell r="BC6" t="str">
            <v>X(a)</v>
          </cell>
          <cell r="BH6" t="str">
            <v>3DL</v>
          </cell>
          <cell r="BJ6" t="str">
            <v>X</v>
          </cell>
          <cell r="BK6" t="str">
            <v>X</v>
          </cell>
          <cell r="BL6" t="str">
            <v>X</v>
          </cell>
          <cell r="BM6" t="str">
            <v>X</v>
          </cell>
          <cell r="BN6" t="str">
            <v>X</v>
          </cell>
          <cell r="BO6" t="str">
            <v>X</v>
          </cell>
          <cell r="BP6" t="str">
            <v>X</v>
          </cell>
          <cell r="BQ6" t="str">
            <v>X</v>
          </cell>
          <cell r="BR6" t="str">
            <v>X</v>
          </cell>
          <cell r="BW6" t="str">
            <v>X</v>
          </cell>
          <cell r="BX6" t="str">
            <v>X</v>
          </cell>
          <cell r="BY6" t="str">
            <v>X</v>
          </cell>
          <cell r="BZ6" t="str">
            <v>X</v>
          </cell>
          <cell r="CA6">
            <v>2.2999999999999998</v>
          </cell>
          <cell r="CB6">
            <v>2</v>
          </cell>
          <cell r="CD6" t="str">
            <v>X</v>
          </cell>
          <cell r="CE6" t="str">
            <v>X</v>
          </cell>
          <cell r="CF6" t="str">
            <v>X</v>
          </cell>
          <cell r="CG6" t="str">
            <v>X</v>
          </cell>
          <cell r="CH6" t="str">
            <v>X</v>
          </cell>
          <cell r="CI6" t="str">
            <v>X</v>
          </cell>
          <cell r="CJ6" t="str">
            <v>X</v>
          </cell>
          <cell r="CK6" t="str">
            <v>X</v>
          </cell>
          <cell r="CL6" t="str">
            <v>X</v>
          </cell>
          <cell r="CN6">
            <v>1</v>
          </cell>
          <cell r="CR6" t="str">
            <v>RU</v>
          </cell>
          <cell r="CS6" t="str">
            <v>X(a)</v>
          </cell>
          <cell r="CU6" t="str">
            <v>X</v>
          </cell>
          <cell r="CW6" t="str">
            <v>DE</v>
          </cell>
          <cell r="CX6" t="str">
            <v>X(a)</v>
          </cell>
          <cell r="DB6" t="str">
            <v>X</v>
          </cell>
          <cell r="DC6" t="str">
            <v>X</v>
          </cell>
          <cell r="DD6">
            <v>7</v>
          </cell>
          <cell r="DE6">
            <v>3.4</v>
          </cell>
          <cell r="DF6" t="str">
            <v>1,RF</v>
          </cell>
          <cell r="DG6" t="str">
            <v>H</v>
          </cell>
          <cell r="DI6" t="str">
            <v>X</v>
          </cell>
          <cell r="DK6">
            <v>1.2</v>
          </cell>
          <cell r="DQ6" t="str">
            <v>X</v>
          </cell>
          <cell r="DU6" t="str">
            <v>unten</v>
          </cell>
          <cell r="DV6" t="str">
            <v>smooth</v>
          </cell>
          <cell r="DW6">
            <v>50</v>
          </cell>
          <cell r="DX6" t="str">
            <v>grey</v>
          </cell>
          <cell r="DY6">
            <v>3</v>
          </cell>
          <cell r="EA6" t="str">
            <v>oben</v>
          </cell>
          <cell r="EB6">
            <v>30</v>
          </cell>
          <cell r="ED6">
            <v>2</v>
          </cell>
          <cell r="EG6" t="str">
            <v>LR</v>
          </cell>
          <cell r="EH6">
            <v>1</v>
          </cell>
          <cell r="EI6">
            <v>25</v>
          </cell>
          <cell r="EJ6" t="str">
            <v>B</v>
          </cell>
          <cell r="EK6" t="str">
            <v>light button</v>
          </cell>
          <cell r="EM6" t="str">
            <v>LR</v>
          </cell>
          <cell r="EN6">
            <v>1</v>
          </cell>
          <cell r="EO6">
            <v>25</v>
          </cell>
          <cell r="EP6" t="str">
            <v>B</v>
          </cell>
          <cell r="ER6" t="str">
            <v>U</v>
          </cell>
          <cell r="FI6" t="str">
            <v>A</v>
          </cell>
          <cell r="FJ6" t="str">
            <v>A</v>
          </cell>
          <cell r="FK6" t="str">
            <v>275 °C</v>
          </cell>
          <cell r="FL6" t="str">
            <v>300 °C</v>
          </cell>
          <cell r="GA6">
            <v>2</v>
          </cell>
          <cell r="GC6">
            <v>1</v>
          </cell>
          <cell r="GD6">
            <v>2</v>
          </cell>
          <cell r="GH6" t="str">
            <v>EN</v>
          </cell>
          <cell r="GJ6" t="str">
            <v>KB (GB)</v>
          </cell>
        </row>
        <row r="7">
          <cell r="F7" t="str">
            <v>N13_SI_ESM</v>
          </cell>
          <cell r="T7" t="str">
            <v>71,7 x 59,5 x 55</v>
          </cell>
          <cell r="V7" t="str">
            <v>EDE</v>
          </cell>
          <cell r="Z7" t="str">
            <v>WE</v>
          </cell>
          <cell r="AI7" t="str">
            <v>EDE</v>
          </cell>
          <cell r="AN7" t="str">
            <v>EDE</v>
          </cell>
          <cell r="AU7" t="str">
            <v>E0_CF</v>
          </cell>
          <cell r="AX7" t="str">
            <v>E3_MCT</v>
          </cell>
          <cell r="BH7" t="str">
            <v>3DL-O</v>
          </cell>
          <cell r="CA7" t="str">
            <v>X</v>
          </cell>
          <cell r="CB7">
            <v>3</v>
          </cell>
          <cell r="CN7">
            <v>2</v>
          </cell>
          <cell r="CR7" t="str">
            <v>RU,DE</v>
          </cell>
          <cell r="CS7" t="str">
            <v>X(b)</v>
          </cell>
          <cell r="CW7" t="str">
            <v>RU,DE</v>
          </cell>
          <cell r="CX7" t="str">
            <v>X(b)</v>
          </cell>
          <cell r="DC7" t="str">
            <v>X(AU konform)</v>
          </cell>
          <cell r="DD7" t="str">
            <v>NA,1</v>
          </cell>
          <cell r="DE7" t="str">
            <v>1,3,4</v>
          </cell>
          <cell r="DG7" t="str">
            <v>TA</v>
          </cell>
          <cell r="DI7" t="str">
            <v>X(AU konform)</v>
          </cell>
          <cell r="DW7">
            <v>56</v>
          </cell>
          <cell r="DY7">
            <v>4</v>
          </cell>
          <cell r="EB7">
            <v>33</v>
          </cell>
          <cell r="EG7" t="str">
            <v>NL,LR</v>
          </cell>
          <cell r="EH7">
            <v>3</v>
          </cell>
          <cell r="EI7">
            <v>40</v>
          </cell>
          <cell r="EJ7" t="str">
            <v>F,B</v>
          </cell>
          <cell r="EK7" t="str">
            <v>X</v>
          </cell>
          <cell r="EP7" t="str">
            <v>T</v>
          </cell>
          <cell r="FI7" t="str">
            <v>B</v>
          </cell>
          <cell r="FJ7" t="str">
            <v>B</v>
          </cell>
          <cell r="FK7" t="str">
            <v>300 °C</v>
          </cell>
          <cell r="FL7" t="str">
            <v>max</v>
          </cell>
          <cell r="GA7">
            <v>3</v>
          </cell>
          <cell r="GD7">
            <v>1</v>
          </cell>
          <cell r="GJ7" t="str">
            <v>RB</v>
          </cell>
        </row>
        <row r="8">
          <cell r="T8" t="str">
            <v>88,8 x 59,4 x 55</v>
          </cell>
          <cell r="V8" t="str">
            <v>SCH</v>
          </cell>
          <cell r="AI8" t="str">
            <v>SCH</v>
          </cell>
          <cell r="AN8" t="str">
            <v>SCH</v>
          </cell>
          <cell r="AU8" t="str">
            <v>E0_CIF</v>
          </cell>
          <cell r="AX8" t="str">
            <v>E3_MCT_G</v>
          </cell>
          <cell r="BH8" t="str">
            <v>3DM</v>
          </cell>
          <cell r="CN8">
            <v>3</v>
          </cell>
          <cell r="CR8" t="str">
            <v>RU,DE,SE</v>
          </cell>
          <cell r="CW8" t="str">
            <v>RU,DE,SE</v>
          </cell>
          <cell r="DC8" t="str">
            <v>X(A)</v>
          </cell>
          <cell r="DD8" t="str">
            <v>NA, 2 (AU konform)</v>
          </cell>
          <cell r="DE8" t="str">
            <v>2,3,4</v>
          </cell>
          <cell r="DW8">
            <v>67</v>
          </cell>
          <cell r="DY8">
            <v>5</v>
          </cell>
          <cell r="EB8">
            <v>35</v>
          </cell>
          <cell r="EI8" t="str">
            <v>20,20,40</v>
          </cell>
          <cell r="FI8" t="str">
            <v>A (-20 %)</v>
          </cell>
          <cell r="FL8" t="str">
            <v>med</v>
          </cell>
          <cell r="GA8" t="str">
            <v>1 (GB)</v>
          </cell>
        </row>
        <row r="9">
          <cell r="T9" t="str">
            <v>88,8 x 59,5 x 55</v>
          </cell>
          <cell r="V9" t="str">
            <v>WEI</v>
          </cell>
          <cell r="AI9" t="str">
            <v>WEI</v>
          </cell>
          <cell r="AN9" t="str">
            <v>WEI</v>
          </cell>
          <cell r="AU9" t="str">
            <v>E0_CIF_E</v>
          </cell>
          <cell r="AX9" t="str">
            <v>ME</v>
          </cell>
          <cell r="BH9" t="str">
            <v>3DM-O</v>
          </cell>
          <cell r="DW9">
            <v>71</v>
          </cell>
          <cell r="FI9" t="str">
            <v>A (-30 %)</v>
          </cell>
        </row>
        <row r="10">
          <cell r="AU10" t="str">
            <v>E3_CT</v>
          </cell>
          <cell r="BH10" t="str">
            <v>DUO12</v>
          </cell>
        </row>
        <row r="11">
          <cell r="AU11" t="str">
            <v>E3_CTF</v>
          </cell>
          <cell r="BH11" t="str">
            <v>DUO6</v>
          </cell>
        </row>
        <row r="12">
          <cell r="AU12" t="str">
            <v>E3_MCT</v>
          </cell>
          <cell r="BH12" t="str">
            <v>DUO8</v>
          </cell>
        </row>
        <row r="13">
          <cell r="AU13" t="str">
            <v>E3_MCT_G</v>
          </cell>
          <cell r="BH13" t="str">
            <v>DUO9</v>
          </cell>
        </row>
        <row r="14">
          <cell r="AU14" t="str">
            <v>E0_CI</v>
          </cell>
          <cell r="BH14" t="str">
            <v>H</v>
          </cell>
        </row>
        <row r="15">
          <cell r="BH15" t="str">
            <v>H-O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icht"/>
      <sheetName val="Daten"/>
      <sheetName val="Auswertung 4"/>
      <sheetName val="Auswertung 3"/>
      <sheetName val="Auswertung 2"/>
      <sheetName val="Auswertung"/>
      <sheetName val="DATA IV-X"/>
      <sheetName val="Nachtrag TR 10-02-2010"/>
      <sheetName val="in.Vent+X Bo Se 10-02-2010"/>
      <sheetName val="Inventix Neff"/>
      <sheetName val="InVentix Constructa_2010_01"/>
      <sheetName val="Übersicht P32"/>
      <sheetName val="Abkürzungen M0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D8">
            <v>-3.20760513454236E-3</v>
          </cell>
          <cell r="E8">
            <v>0.1394589904839342</v>
          </cell>
          <cell r="F8">
            <v>6.2055807124311357E-2</v>
          </cell>
          <cell r="H8">
            <v>6.0298780173614001E-2</v>
          </cell>
          <cell r="I8">
            <v>0.22571712523477178</v>
          </cell>
        </row>
        <row r="27">
          <cell r="D27">
            <v>0</v>
          </cell>
          <cell r="E27">
            <v>0.10454016595417279</v>
          </cell>
          <cell r="F27">
            <v>6.8377737772374866E-2</v>
          </cell>
          <cell r="H27">
            <v>5.9035104870456781E-2</v>
          </cell>
          <cell r="I27">
            <v>0.19111410155975456</v>
          </cell>
        </row>
        <row r="28">
          <cell r="D28">
            <v>0</v>
          </cell>
          <cell r="E28">
            <v>0.17644309917271059</v>
          </cell>
          <cell r="F28">
            <v>5.8763835843168341E-2</v>
          </cell>
          <cell r="H28">
            <v>5.9699352389848401E-2</v>
          </cell>
          <cell r="I28">
            <v>0.19396034919969973</v>
          </cell>
        </row>
        <row r="34">
          <cell r="D34">
            <v>0</v>
          </cell>
          <cell r="E34">
            <v>0.12483744554570128</v>
          </cell>
          <cell r="F34">
            <v>8.4846614373320833E-2</v>
          </cell>
          <cell r="H34">
            <v>6.0298810982898847E-2</v>
          </cell>
          <cell r="I34">
            <v>0.14791956071140902</v>
          </cell>
        </row>
        <row r="36">
          <cell r="D36">
            <v>0</v>
          </cell>
          <cell r="E36">
            <v>6.0056121211989937E-2</v>
          </cell>
          <cell r="F36">
            <v>2.8530747007753886E-2</v>
          </cell>
          <cell r="H36">
            <v>6.018045990829457E-2</v>
          </cell>
          <cell r="I36">
            <v>0.17501695737622452</v>
          </cell>
        </row>
        <row r="44">
          <cell r="D44">
            <v>-5.2300046722763401E-2</v>
          </cell>
          <cell r="E44">
            <v>0.17336462947667586</v>
          </cell>
          <cell r="F44">
            <v>5.3081716487299889E-2</v>
          </cell>
          <cell r="H44">
            <v>6.0233593629587814E-2</v>
          </cell>
          <cell r="I44">
            <v>0.19075920425806536</v>
          </cell>
        </row>
        <row r="45">
          <cell r="D45">
            <v>0</v>
          </cell>
          <cell r="E45">
            <v>6.1218709865619961E-2</v>
          </cell>
          <cell r="F45">
            <v>0.1000856029112504</v>
          </cell>
          <cell r="H45">
            <v>5.9897602295129311E-2</v>
          </cell>
          <cell r="I45">
            <v>0.20281450138495846</v>
          </cell>
        </row>
        <row r="46">
          <cell r="D46">
            <v>-4.4879025987722785E-3</v>
          </cell>
          <cell r="E46">
            <v>8.5000000128418213E-2</v>
          </cell>
          <cell r="F46">
            <v>0.10656988621276804</v>
          </cell>
          <cell r="H46">
            <v>6.0298834644358923E-2</v>
          </cell>
          <cell r="I46">
            <v>0.16797085571248271</v>
          </cell>
        </row>
        <row r="51">
          <cell r="D51">
            <v>-1.1019133493157872E-3</v>
          </cell>
          <cell r="E51">
            <v>9.8101262183760779E-2</v>
          </cell>
          <cell r="F51">
            <v>0.11891556807479549</v>
          </cell>
          <cell r="H51">
            <v>5.9680652586661484E-2</v>
          </cell>
          <cell r="I51">
            <v>0.17974575225906503</v>
          </cell>
        </row>
        <row r="52">
          <cell r="D52">
            <v>0</v>
          </cell>
          <cell r="E52">
            <v>5.0459719645052997E-2</v>
          </cell>
          <cell r="F52">
            <v>0.10689913974580112</v>
          </cell>
          <cell r="H52">
            <v>6.0201635769296553E-2</v>
          </cell>
          <cell r="I52">
            <v>0.20275413102116105</v>
          </cell>
        </row>
      </sheetData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_PMG(M)"/>
      <sheetName val="ValidEntries"/>
      <sheetName val="Revenues"/>
      <sheetName val="BT_door"/>
      <sheetName val="BT_Design(M)"/>
      <sheetName val="BT_UIs(M)"/>
      <sheetName val="BT_WarmComp"/>
      <sheetName val="Abgleich"/>
      <sheetName val="BT_HeatingModes(M)"/>
      <sheetName val="RunNoHelp"/>
      <sheetName val="BT_country_config"/>
      <sheetName val="Pivot_Design"/>
      <sheetName val="BT_elec_con(M)"/>
      <sheetName val="BT_Businfield"/>
      <sheetName val="TestAwards(C)"/>
      <sheetName val="Excep_Special Printing(M)"/>
      <sheetName val="Excep_cable(M)"/>
      <sheetName val="Hints"/>
      <sheetName val="Regeln_Tür_Wrasen"/>
      <sheetName val="PPS1_2020Q1_EOX6021_NHT_COX51_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 t="str">
            <v>e:electr.
me: mechan. (STMC)
m:mechan.</v>
          </cell>
        </row>
        <row r="4">
          <cell r="C4" t="str">
            <v>BT_UIs_UI</v>
          </cell>
          <cell r="D4" t="str">
            <v>BT_UIs_t_Control</v>
          </cell>
        </row>
        <row r="6">
          <cell r="C6" t="str">
            <v>NM52</v>
          </cell>
          <cell r="D6" t="str">
            <v>me</v>
          </cell>
        </row>
        <row r="7">
          <cell r="C7" t="str">
            <v>NM52M</v>
          </cell>
          <cell r="D7" t="str">
            <v>me</v>
          </cell>
        </row>
        <row r="8">
          <cell r="C8" t="str">
            <v>SM52</v>
          </cell>
          <cell r="D8" t="str">
            <v>me</v>
          </cell>
        </row>
        <row r="9">
          <cell r="C9" t="str">
            <v>SM52T</v>
          </cell>
          <cell r="D9" t="str">
            <v>me</v>
          </cell>
        </row>
        <row r="10">
          <cell r="C10" t="str">
            <v>SE52</v>
          </cell>
          <cell r="D10" t="str">
            <v>e</v>
          </cell>
        </row>
        <row r="11">
          <cell r="C11" t="str">
            <v>SM52M</v>
          </cell>
          <cell r="D11" t="str">
            <v>me</v>
          </cell>
        </row>
        <row r="12">
          <cell r="C12" t="str">
            <v>BM52</v>
          </cell>
          <cell r="D12" t="str">
            <v>me</v>
          </cell>
        </row>
        <row r="13">
          <cell r="C13" t="str">
            <v>BM52T</v>
          </cell>
          <cell r="D13" t="str">
            <v>me</v>
          </cell>
        </row>
        <row r="14">
          <cell r="C14" t="str">
            <v>BE52</v>
          </cell>
          <cell r="D14" t="str">
            <v>e</v>
          </cell>
        </row>
        <row r="15">
          <cell r="C15" t="str">
            <v>BM52M</v>
          </cell>
          <cell r="D15" t="str">
            <v>me</v>
          </cell>
        </row>
        <row r="16">
          <cell r="C16" t="str">
            <v>xM10</v>
          </cell>
          <cell r="D16" t="str">
            <v>m</v>
          </cell>
        </row>
        <row r="17">
          <cell r="C17" t="str">
            <v>xM50</v>
          </cell>
          <cell r="D17" t="str">
            <v>me</v>
          </cell>
        </row>
        <row r="18">
          <cell r="C18" t="str">
            <v>xM51</v>
          </cell>
          <cell r="D18" t="str">
            <v>me</v>
          </cell>
        </row>
        <row r="19">
          <cell r="C19" t="str">
            <v>xE51</v>
          </cell>
          <cell r="D19" t="str">
            <v>e</v>
          </cell>
        </row>
        <row r="20">
          <cell r="C20" t="str">
            <v>xE51w</v>
          </cell>
          <cell r="D20" t="str">
            <v>e</v>
          </cell>
        </row>
        <row r="21">
          <cell r="C21" t="str">
            <v>BE52D</v>
          </cell>
          <cell r="D21" t="str">
            <v>e</v>
          </cell>
        </row>
        <row r="22">
          <cell r="C22" t="str">
            <v>NE52D</v>
          </cell>
          <cell r="D22" t="str">
            <v>e</v>
          </cell>
        </row>
        <row r="23">
          <cell r="C23" t="str">
            <v>RE52</v>
          </cell>
          <cell r="D23" t="str">
            <v>e</v>
          </cell>
        </row>
        <row r="24">
          <cell r="C24" t="str">
            <v>RM52</v>
          </cell>
          <cell r="D24" t="str">
            <v>me</v>
          </cell>
        </row>
        <row r="25">
          <cell r="C25" t="str">
            <v>xM51flex</v>
          </cell>
          <cell r="D25" t="str">
            <v>me</v>
          </cell>
        </row>
        <row r="26">
          <cell r="C26" t="str">
            <v>BE54</v>
          </cell>
          <cell r="D26" t="str">
            <v>e</v>
          </cell>
        </row>
        <row r="27">
          <cell r="C27" t="str">
            <v>xE51flex</v>
          </cell>
          <cell r="D27" t="str">
            <v>e</v>
          </cell>
        </row>
        <row r="28">
          <cell r="C28" t="str">
            <v>NE54</v>
          </cell>
          <cell r="D28" t="str">
            <v>e</v>
          </cell>
        </row>
        <row r="29">
          <cell r="C29" t="str">
            <v>SE54</v>
          </cell>
          <cell r="D29" t="str">
            <v>e</v>
          </cell>
        </row>
        <row r="30">
          <cell r="C30" t="str">
            <v>SE52D</v>
          </cell>
          <cell r="D30" t="str">
            <v>e</v>
          </cell>
        </row>
        <row r="31">
          <cell r="C31" t="str">
            <v>xM51td</v>
          </cell>
          <cell r="D31" t="str">
            <v>me</v>
          </cell>
        </row>
        <row r="32">
          <cell r="C32" t="str">
            <v>NE52</v>
          </cell>
          <cell r="D32" t="str">
            <v>e</v>
          </cell>
        </row>
        <row r="33">
          <cell r="C33" t="str">
            <v>NM52T</v>
          </cell>
          <cell r="D33" t="str">
            <v>me</v>
          </cell>
        </row>
        <row r="34">
          <cell r="C34" t="str">
            <v>IC6_CNF_61</v>
          </cell>
          <cell r="D34" t="str">
            <v>e</v>
          </cell>
        </row>
        <row r="35">
          <cell r="C35" t="str">
            <v>IC6_CNF_62</v>
          </cell>
          <cell r="D35" t="str">
            <v>e</v>
          </cell>
        </row>
        <row r="36">
          <cell r="C36" t="str">
            <v>IC6_CNF_63</v>
          </cell>
          <cell r="D36" t="str">
            <v>e</v>
          </cell>
        </row>
        <row r="37">
          <cell r="C37" t="str">
            <v>IC6_CSE_61</v>
          </cell>
          <cell r="D37" t="str">
            <v>e</v>
          </cell>
        </row>
        <row r="38">
          <cell r="C38" t="str">
            <v>IC6_CBO_61</v>
          </cell>
          <cell r="D38" t="str">
            <v>e</v>
          </cell>
        </row>
        <row r="39">
          <cell r="C39" t="str">
            <v>IC6_CSE_62</v>
          </cell>
          <cell r="D39" t="str">
            <v>e</v>
          </cell>
        </row>
        <row r="40">
          <cell r="C40" t="str">
            <v>IC6_CSE_63</v>
          </cell>
          <cell r="D40" t="str">
            <v>e</v>
          </cell>
        </row>
        <row r="41">
          <cell r="C41" t="str">
            <v>IC6_CBO_62</v>
          </cell>
          <cell r="D41" t="str">
            <v>e</v>
          </cell>
        </row>
        <row r="42">
          <cell r="C42" t="str">
            <v>xM50tm</v>
          </cell>
          <cell r="D42" t="str">
            <v>me</v>
          </cell>
        </row>
        <row r="43">
          <cell r="C43" t="str">
            <v>AC</v>
          </cell>
          <cell r="D43" t="str">
            <v>m</v>
          </cell>
        </row>
        <row r="44">
          <cell r="C44" t="str">
            <v>BE61</v>
          </cell>
          <cell r="D44" t="str">
            <v>e</v>
          </cell>
        </row>
        <row r="45">
          <cell r="C45" t="str">
            <v>BE62</v>
          </cell>
          <cell r="D45" t="str">
            <v>e</v>
          </cell>
        </row>
        <row r="46">
          <cell r="C46" t="str">
            <v>BE63</v>
          </cell>
          <cell r="D46" t="str">
            <v>e</v>
          </cell>
        </row>
        <row r="47">
          <cell r="C47" t="str">
            <v>SE61</v>
          </cell>
          <cell r="D47" t="str">
            <v>e</v>
          </cell>
        </row>
        <row r="48">
          <cell r="C48" t="str">
            <v>SE62</v>
          </cell>
          <cell r="D48" t="str">
            <v>e</v>
          </cell>
        </row>
        <row r="49">
          <cell r="C49" t="str">
            <v>SE63</v>
          </cell>
          <cell r="D49" t="str">
            <v>e</v>
          </cell>
        </row>
        <row r="50">
          <cell r="C50" t="str">
            <v>NE61</v>
          </cell>
          <cell r="D50" t="str">
            <v>e</v>
          </cell>
        </row>
        <row r="51">
          <cell r="C51" t="str">
            <v>NE62</v>
          </cell>
          <cell r="D51" t="str">
            <v>e</v>
          </cell>
        </row>
        <row r="52">
          <cell r="C52" t="str">
            <v>NE63</v>
          </cell>
          <cell r="D52" t="str">
            <v>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nweise zur Liste"/>
      <sheetName val="VA-Übersicht"/>
      <sheetName val="Auszug x-Liste_aktuelle_Klärung"/>
      <sheetName val="VA-Übersicht_ERLEDIGT"/>
      <sheetName val="x-liste_ERLEDIGT"/>
      <sheetName val="Definitionen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gleich_Mech_Elektr. optimier"/>
      <sheetName val="Technologiekosten"/>
      <sheetName val="Modul_Kosten_schätzung"/>
      <sheetName val="IC5_IC6_UI_Kosten"/>
      <sheetName val="Vergleich_Mech_Elektr."/>
      <sheetName val="Tabelle1"/>
      <sheetName val="StückzahlenIC5 (5)"/>
      <sheetName val="StückzahlenIC5 (4)"/>
      <sheetName val="StückzahlenIC5 (3)"/>
      <sheetName val="StückzahlenIC5 (2)"/>
      <sheetName val="StückzahlenIC5"/>
      <sheetName val="Überleitung HB33 SE"/>
      <sheetName val="Bosch_WSK_Schätz_1"/>
      <sheetName val="Bosch_WSK_Schätz_2"/>
      <sheetName val="Überleitung_IC3_IC5"/>
      <sheetName val="Vergleich_HB33_HB73"/>
      <sheetName val="Sheet2"/>
      <sheetName val="Sheet3"/>
    </sheetNames>
    <sheetDataSet>
      <sheetData sheetId="0"/>
      <sheetData sheetId="1"/>
      <sheetData sheetId="2"/>
      <sheetData sheetId="3"/>
      <sheetData sheetId="4">
        <row r="8">
          <cell r="F8">
            <v>1.18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26" sqref="E26"/>
    </sheetView>
  </sheetViews>
  <sheetFormatPr baseColWidth="10" defaultRowHeight="12.75" x14ac:dyDescent="0.2"/>
  <cols>
    <col min="1" max="1" width="12.5703125" style="1" customWidth="1"/>
    <col min="2" max="2" width="13.5703125" style="1" customWidth="1"/>
    <col min="3" max="3" width="14.42578125" style="1" customWidth="1"/>
    <col min="4" max="4" width="39.140625" style="1" customWidth="1"/>
    <col min="5" max="5" width="57.28515625" bestFit="1" customWidth="1"/>
  </cols>
  <sheetData>
    <row r="1" spans="1:5" x14ac:dyDescent="0.2">
      <c r="A1" s="59" t="s">
        <v>670</v>
      </c>
      <c r="B1" s="59" t="s">
        <v>671</v>
      </c>
      <c r="C1" s="59" t="s">
        <v>665</v>
      </c>
      <c r="D1" s="59" t="s">
        <v>668</v>
      </c>
      <c r="E1" s="58" t="s">
        <v>67</v>
      </c>
    </row>
    <row r="2" spans="1:5" x14ac:dyDescent="0.2">
      <c r="A2" s="1">
        <v>5</v>
      </c>
      <c r="B2" s="1" t="s">
        <v>666</v>
      </c>
      <c r="C2" s="236">
        <v>43777</v>
      </c>
      <c r="D2" s="1" t="s">
        <v>669</v>
      </c>
      <c r="E2" t="s">
        <v>667</v>
      </c>
    </row>
    <row r="3" spans="1:5" x14ac:dyDescent="0.2">
      <c r="A3" s="1">
        <v>5</v>
      </c>
      <c r="B3" s="1" t="s">
        <v>674</v>
      </c>
      <c r="C3" s="236">
        <v>43796</v>
      </c>
      <c r="D3" s="1" t="s">
        <v>675</v>
      </c>
      <c r="E3" t="s">
        <v>676</v>
      </c>
    </row>
    <row r="4" spans="1:5" x14ac:dyDescent="0.2">
      <c r="A4" s="1">
        <v>5</v>
      </c>
      <c r="B4" s="1" t="s">
        <v>677</v>
      </c>
      <c r="C4" s="236">
        <v>43816</v>
      </c>
      <c r="D4" s="1" t="s">
        <v>678</v>
      </c>
      <c r="E4" t="s">
        <v>679</v>
      </c>
    </row>
    <row r="5" spans="1:5" x14ac:dyDescent="0.2">
      <c r="A5" s="1">
        <v>5</v>
      </c>
      <c r="B5" s="1" t="s">
        <v>677</v>
      </c>
      <c r="C5" s="236">
        <v>43816</v>
      </c>
      <c r="D5" s="1" t="s">
        <v>678</v>
      </c>
      <c r="E5" t="s">
        <v>680</v>
      </c>
    </row>
    <row r="6" spans="1:5" x14ac:dyDescent="0.2">
      <c r="A6" s="1">
        <v>5</v>
      </c>
      <c r="B6" s="1" t="s">
        <v>666</v>
      </c>
      <c r="C6" s="236">
        <v>43838</v>
      </c>
      <c r="D6" s="1" t="s">
        <v>678</v>
      </c>
      <c r="E6" t="s">
        <v>681</v>
      </c>
    </row>
    <row r="7" spans="1:5" x14ac:dyDescent="0.2">
      <c r="A7" s="1">
        <v>5</v>
      </c>
      <c r="B7" s="1" t="s">
        <v>677</v>
      </c>
      <c r="C7" s="236">
        <v>43844</v>
      </c>
      <c r="D7" s="1" t="s">
        <v>678</v>
      </c>
      <c r="E7" t="s">
        <v>696</v>
      </c>
    </row>
    <row r="8" spans="1:5" x14ac:dyDescent="0.2">
      <c r="A8" s="1">
        <v>6</v>
      </c>
      <c r="B8" s="1" t="s">
        <v>666</v>
      </c>
      <c r="C8" s="236">
        <v>43851</v>
      </c>
      <c r="D8" s="1" t="s">
        <v>697</v>
      </c>
      <c r="E8" t="s">
        <v>698</v>
      </c>
    </row>
    <row r="9" spans="1:5" x14ac:dyDescent="0.2">
      <c r="A9" s="1">
        <v>6</v>
      </c>
      <c r="B9" s="1" t="s">
        <v>677</v>
      </c>
      <c r="C9" s="236">
        <v>43873</v>
      </c>
      <c r="D9" s="1" t="s">
        <v>678</v>
      </c>
      <c r="E9" t="s">
        <v>699</v>
      </c>
    </row>
    <row r="10" spans="1:5" x14ac:dyDescent="0.2">
      <c r="A10" s="1">
        <v>7</v>
      </c>
      <c r="B10" s="1" t="s">
        <v>666</v>
      </c>
      <c r="C10" s="236">
        <v>43875</v>
      </c>
      <c r="D10" s="1" t="s">
        <v>678</v>
      </c>
      <c r="E10" t="s">
        <v>701</v>
      </c>
    </row>
    <row r="11" spans="1:5" x14ac:dyDescent="0.2">
      <c r="A11" s="1">
        <v>7</v>
      </c>
      <c r="B11" s="1" t="s">
        <v>666</v>
      </c>
      <c r="C11" s="236">
        <v>43875</v>
      </c>
      <c r="D11" s="1" t="s">
        <v>702</v>
      </c>
      <c r="E11" t="s">
        <v>703</v>
      </c>
    </row>
    <row r="12" spans="1:5" x14ac:dyDescent="0.2">
      <c r="A12" s="1">
        <v>8</v>
      </c>
      <c r="B12" s="1" t="s">
        <v>666</v>
      </c>
      <c r="C12" s="236">
        <v>43887</v>
      </c>
      <c r="D12" s="1" t="s">
        <v>707</v>
      </c>
      <c r="E12" t="s">
        <v>708</v>
      </c>
    </row>
    <row r="13" spans="1:5" x14ac:dyDescent="0.2">
      <c r="A13" s="1">
        <v>8</v>
      </c>
      <c r="B13" s="1" t="s">
        <v>709</v>
      </c>
      <c r="C13" s="236">
        <v>43887</v>
      </c>
      <c r="D13" s="1" t="s">
        <v>707</v>
      </c>
      <c r="E13" t="s">
        <v>710</v>
      </c>
    </row>
    <row r="14" spans="1:5" x14ac:dyDescent="0.2">
      <c r="A14" s="1">
        <v>8</v>
      </c>
      <c r="B14" s="1" t="s">
        <v>677</v>
      </c>
      <c r="C14" s="236">
        <v>43888</v>
      </c>
      <c r="D14" s="1" t="s">
        <v>711</v>
      </c>
      <c r="E14" t="s">
        <v>712</v>
      </c>
    </row>
  </sheetData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61"/>
  <sheetViews>
    <sheetView zoomScale="76" zoomScaleNormal="70" workbookViewId="0">
      <selection activeCell="I61" sqref="I61"/>
    </sheetView>
  </sheetViews>
  <sheetFormatPr baseColWidth="10" defaultColWidth="11.5703125" defaultRowHeight="12.75" outlineLevelCol="1" x14ac:dyDescent="0.2"/>
  <cols>
    <col min="1" max="1" width="7.5703125" style="84" customWidth="1"/>
    <col min="2" max="2" width="22.5703125" style="84" customWidth="1"/>
    <col min="3" max="3" width="9.42578125" style="102" customWidth="1"/>
    <col min="4" max="4" width="7.85546875" style="102" customWidth="1"/>
    <col min="5" max="5" width="11" style="84" customWidth="1"/>
    <col min="6" max="6" width="12.140625" style="84" customWidth="1"/>
    <col min="7" max="7" width="12.85546875" style="102" customWidth="1"/>
    <col min="8" max="8" width="9.7109375" style="102" customWidth="1"/>
    <col min="9" max="9" width="8.28515625" style="102" customWidth="1"/>
    <col min="10" max="10" width="9" style="102" customWidth="1"/>
    <col min="11" max="11" width="11.140625" style="102" customWidth="1"/>
    <col min="12" max="12" width="8.85546875" style="102" customWidth="1"/>
    <col min="13" max="13" width="10.5703125" style="102" customWidth="1"/>
    <col min="14" max="14" width="9.140625" style="102" customWidth="1"/>
    <col min="15" max="15" width="10.7109375" style="84" customWidth="1"/>
    <col min="16" max="16" width="13.85546875" style="84" customWidth="1"/>
    <col min="17" max="22" width="7.140625" style="2" customWidth="1"/>
    <col min="23" max="36" width="4.28515625" style="2" customWidth="1" outlineLevel="1"/>
    <col min="37" max="37" width="5.7109375" style="2" customWidth="1" outlineLevel="1"/>
    <col min="38" max="38" width="5.140625" style="2" customWidth="1" outlineLevel="1"/>
    <col min="39" max="48" width="4.28515625" style="2" customWidth="1" outlineLevel="1"/>
    <col min="49" max="51" width="4.28515625" style="9" customWidth="1" outlineLevel="1"/>
    <col min="52" max="52" width="4.28515625" style="2" customWidth="1" outlineLevel="1"/>
    <col min="53" max="53" width="5.28515625" style="2" customWidth="1" outlineLevel="1"/>
    <col min="54" max="54" width="5.5703125" style="2" customWidth="1" outlineLevel="1"/>
    <col min="55" max="56" width="4.28515625" style="2" customWidth="1" outlineLevel="1"/>
    <col min="57" max="59" width="4.28515625" style="9" customWidth="1" outlineLevel="1"/>
    <col min="60" max="70" width="4.28515625" style="2" customWidth="1" outlineLevel="1"/>
    <col min="71" max="71" width="4.28515625" style="2" customWidth="1"/>
    <col min="72" max="74" width="7.140625" style="2" customWidth="1"/>
    <col min="75" max="98" width="4" style="2" hidden="1" customWidth="1" outlineLevel="1"/>
    <col min="99" max="99" width="6.42578125" style="2" customWidth="1" collapsed="1"/>
    <col min="100" max="100" width="9" style="2" customWidth="1"/>
    <col min="101" max="101" width="9.5703125" style="84" customWidth="1"/>
    <col min="102" max="103" width="10.140625" style="84" customWidth="1"/>
    <col min="104" max="16384" width="11.5703125" style="84"/>
  </cols>
  <sheetData>
    <row r="1" spans="1:105" x14ac:dyDescent="0.2">
      <c r="A1" s="110" t="s">
        <v>191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1"/>
      <c r="AY1" s="10"/>
      <c r="AZ1" s="10"/>
      <c r="BA1" s="10"/>
      <c r="BB1" s="10"/>
      <c r="BC1" s="10"/>
      <c r="BD1" s="10"/>
      <c r="BE1" s="10"/>
      <c r="BF1" s="11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</row>
    <row r="2" spans="1:105" ht="15.75" thickBot="1" x14ac:dyDescent="0.3">
      <c r="A2" s="58" t="s">
        <v>192</v>
      </c>
      <c r="P2" s="1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3"/>
      <c r="CW2" s="112"/>
      <c r="CX2" s="113"/>
      <c r="CY2" s="113"/>
    </row>
    <row r="3" spans="1:105" ht="15.75" thickBot="1" x14ac:dyDescent="0.3">
      <c r="P3" s="111" t="s">
        <v>193</v>
      </c>
      <c r="Q3" s="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3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3"/>
      <c r="CW3" s="112" t="s">
        <v>194</v>
      </c>
      <c r="CX3" s="113"/>
      <c r="CY3" s="113"/>
    </row>
    <row r="4" spans="1:105" ht="30.75" customHeight="1" thickBot="1" x14ac:dyDescent="0.3">
      <c r="A4" s="114" t="s">
        <v>195</v>
      </c>
      <c r="B4" s="115" t="s">
        <v>14</v>
      </c>
      <c r="C4" s="116" t="s">
        <v>33</v>
      </c>
      <c r="D4" s="116" t="s">
        <v>196</v>
      </c>
      <c r="E4" s="116" t="s">
        <v>261</v>
      </c>
      <c r="F4" s="116" t="s">
        <v>262</v>
      </c>
      <c r="G4" s="149" t="s">
        <v>255</v>
      </c>
      <c r="H4" s="116" t="s">
        <v>265</v>
      </c>
      <c r="I4" s="117" t="s">
        <v>178</v>
      </c>
      <c r="J4" s="118" t="s">
        <v>197</v>
      </c>
      <c r="K4" s="118" t="s">
        <v>198</v>
      </c>
      <c r="L4" s="119" t="s">
        <v>199</v>
      </c>
      <c r="M4" s="119" t="s">
        <v>200</v>
      </c>
      <c r="N4" s="119" t="s">
        <v>201</v>
      </c>
      <c r="O4" s="120" t="s">
        <v>202</v>
      </c>
      <c r="P4" s="120" t="s">
        <v>193</v>
      </c>
      <c r="Q4" s="301" t="s">
        <v>259</v>
      </c>
      <c r="R4" s="302"/>
      <c r="S4" s="302"/>
      <c r="T4" s="302"/>
      <c r="U4" s="302"/>
      <c r="V4" s="302"/>
      <c r="W4" s="16">
        <v>7</v>
      </c>
      <c r="X4" s="17">
        <v>6</v>
      </c>
      <c r="Y4" s="17">
        <v>5</v>
      </c>
      <c r="Z4" s="17">
        <v>4</v>
      </c>
      <c r="AA4" s="17">
        <v>3</v>
      </c>
      <c r="AB4" s="17">
        <v>2</v>
      </c>
      <c r="AC4" s="17">
        <v>1</v>
      </c>
      <c r="AD4" s="18">
        <v>0</v>
      </c>
      <c r="AE4" s="16">
        <v>7</v>
      </c>
      <c r="AF4" s="17">
        <v>6</v>
      </c>
      <c r="AG4" s="17">
        <v>5</v>
      </c>
      <c r="AH4" s="17">
        <v>4</v>
      </c>
      <c r="AI4" s="17">
        <v>3</v>
      </c>
      <c r="AJ4" s="17">
        <v>2</v>
      </c>
      <c r="AK4" s="17">
        <v>1</v>
      </c>
      <c r="AL4" s="18">
        <v>0</v>
      </c>
      <c r="AM4" s="16">
        <v>7</v>
      </c>
      <c r="AN4" s="17">
        <v>6</v>
      </c>
      <c r="AO4" s="17">
        <v>5</v>
      </c>
      <c r="AP4" s="17">
        <v>4</v>
      </c>
      <c r="AQ4" s="17">
        <v>3</v>
      </c>
      <c r="AR4" s="17">
        <v>2</v>
      </c>
      <c r="AS4" s="17">
        <v>1</v>
      </c>
      <c r="AT4" s="18">
        <v>0</v>
      </c>
      <c r="AU4" s="16">
        <v>7</v>
      </c>
      <c r="AV4" s="17">
        <v>6</v>
      </c>
      <c r="AW4" s="17">
        <v>5</v>
      </c>
      <c r="AX4" s="19">
        <v>4</v>
      </c>
      <c r="AY4" s="17">
        <v>3</v>
      </c>
      <c r="AZ4" s="17">
        <v>2</v>
      </c>
      <c r="BA4" s="17">
        <v>1</v>
      </c>
      <c r="BB4" s="20">
        <v>0</v>
      </c>
      <c r="BC4" s="16">
        <v>7</v>
      </c>
      <c r="BD4" s="17">
        <v>6</v>
      </c>
      <c r="BE4" s="17">
        <v>5</v>
      </c>
      <c r="BF4" s="19">
        <v>4</v>
      </c>
      <c r="BG4" s="17">
        <v>3</v>
      </c>
      <c r="BH4" s="17">
        <v>2</v>
      </c>
      <c r="BI4" s="17">
        <v>1</v>
      </c>
      <c r="BJ4" s="20">
        <v>0</v>
      </c>
      <c r="BK4" s="16">
        <v>7</v>
      </c>
      <c r="BL4" s="17">
        <v>6</v>
      </c>
      <c r="BM4" s="17">
        <v>5</v>
      </c>
      <c r="BN4" s="17">
        <v>4</v>
      </c>
      <c r="BO4" s="17">
        <v>3</v>
      </c>
      <c r="BP4" s="17">
        <v>2</v>
      </c>
      <c r="BQ4" s="17">
        <v>1</v>
      </c>
      <c r="BR4" s="20">
        <v>0</v>
      </c>
      <c r="BS4" s="21"/>
      <c r="BT4" s="13" t="s">
        <v>258</v>
      </c>
      <c r="BU4" s="14"/>
      <c r="BV4" s="14"/>
      <c r="BW4" s="16">
        <v>7</v>
      </c>
      <c r="BX4" s="17">
        <v>6</v>
      </c>
      <c r="BY4" s="17">
        <v>5</v>
      </c>
      <c r="BZ4" s="17">
        <v>4</v>
      </c>
      <c r="CA4" s="17">
        <v>3</v>
      </c>
      <c r="CB4" s="17">
        <v>2</v>
      </c>
      <c r="CC4" s="17">
        <v>1</v>
      </c>
      <c r="CD4" s="18">
        <v>0</v>
      </c>
      <c r="CE4" s="16">
        <v>7</v>
      </c>
      <c r="CF4" s="17">
        <v>6</v>
      </c>
      <c r="CG4" s="17">
        <v>5</v>
      </c>
      <c r="CH4" s="17">
        <v>4</v>
      </c>
      <c r="CI4" s="17">
        <v>3</v>
      </c>
      <c r="CJ4" s="17">
        <v>2</v>
      </c>
      <c r="CK4" s="17">
        <v>1</v>
      </c>
      <c r="CL4" s="18">
        <v>0</v>
      </c>
      <c r="CM4" s="16">
        <v>7</v>
      </c>
      <c r="CN4" s="17">
        <v>6</v>
      </c>
      <c r="CO4" s="17">
        <v>5</v>
      </c>
      <c r="CP4" s="17">
        <v>4</v>
      </c>
      <c r="CQ4" s="17">
        <v>3</v>
      </c>
      <c r="CR4" s="17">
        <v>2</v>
      </c>
      <c r="CS4" s="17">
        <v>1</v>
      </c>
      <c r="CT4" s="20">
        <v>0</v>
      </c>
      <c r="CU4" s="12"/>
      <c r="CV4" s="120" t="s">
        <v>274</v>
      </c>
      <c r="CW4" s="120" t="s">
        <v>275</v>
      </c>
      <c r="CX4" s="120" t="s">
        <v>276</v>
      </c>
      <c r="CY4" s="120" t="s">
        <v>278</v>
      </c>
    </row>
    <row r="5" spans="1:105" s="125" customFormat="1" ht="93.75" customHeight="1" x14ac:dyDescent="0.25">
      <c r="A5" s="121"/>
      <c r="B5" s="122"/>
      <c r="C5" s="123"/>
      <c r="D5" s="123"/>
      <c r="E5" s="123"/>
      <c r="F5" s="123"/>
      <c r="G5" s="150"/>
      <c r="H5" s="124"/>
      <c r="I5" s="124"/>
      <c r="J5" s="123"/>
      <c r="K5" s="123"/>
      <c r="L5" s="124"/>
      <c r="M5" s="124" t="s">
        <v>268</v>
      </c>
      <c r="N5" s="124"/>
      <c r="O5" s="123" t="s">
        <v>269</v>
      </c>
      <c r="P5" s="123"/>
      <c r="Q5" s="22"/>
      <c r="R5" s="23"/>
      <c r="S5" s="23"/>
      <c r="T5" s="23"/>
      <c r="U5" s="23"/>
      <c r="V5" s="24"/>
      <c r="W5" s="105"/>
      <c r="X5" s="25"/>
      <c r="Y5" s="25"/>
      <c r="Z5" s="25"/>
      <c r="AA5" s="25"/>
      <c r="AB5" s="25"/>
      <c r="AC5" s="310"/>
      <c r="AD5" s="311"/>
      <c r="AE5" s="314"/>
      <c r="AF5" s="313"/>
      <c r="AG5" s="310"/>
      <c r="AH5" s="313"/>
      <c r="AI5" s="310"/>
      <c r="AJ5" s="313"/>
      <c r="AK5" s="310"/>
      <c r="AL5" s="311"/>
      <c r="AM5" s="26"/>
      <c r="AN5" s="25"/>
      <c r="AO5" s="25"/>
      <c r="AP5" s="25"/>
      <c r="AQ5" s="310"/>
      <c r="AR5" s="312"/>
      <c r="AS5" s="313"/>
      <c r="AT5" s="27"/>
      <c r="AU5" s="26"/>
      <c r="AV5" s="25"/>
      <c r="AW5" s="25"/>
      <c r="AX5" s="25"/>
      <c r="AY5" s="310"/>
      <c r="AZ5" s="313"/>
      <c r="BA5" s="25"/>
      <c r="BB5" s="27"/>
      <c r="BC5" s="26"/>
      <c r="BD5" s="25"/>
      <c r="BE5" s="25"/>
      <c r="BF5" s="28"/>
      <c r="BG5" s="25"/>
      <c r="BH5" s="25"/>
      <c r="BI5" s="25"/>
      <c r="BJ5" s="27"/>
      <c r="BK5" s="314"/>
      <c r="BL5" s="312"/>
      <c r="BM5" s="312"/>
      <c r="BN5" s="312"/>
      <c r="BO5" s="312"/>
      <c r="BP5" s="312"/>
      <c r="BQ5" s="312"/>
      <c r="BR5" s="311"/>
      <c r="BS5" s="15"/>
      <c r="BT5" s="29"/>
      <c r="BU5" s="30"/>
      <c r="BV5" s="30"/>
      <c r="BW5" s="31"/>
      <c r="BX5" s="31"/>
      <c r="BY5" s="315"/>
      <c r="BZ5" s="316"/>
      <c r="CA5" s="32"/>
      <c r="CB5" s="315"/>
      <c r="CC5" s="318"/>
      <c r="CD5" s="322"/>
      <c r="CE5" s="317"/>
      <c r="CF5" s="318"/>
      <c r="CG5" s="316"/>
      <c r="CH5" s="33"/>
      <c r="CI5" s="33"/>
      <c r="CJ5" s="33"/>
      <c r="CK5" s="33"/>
      <c r="CL5" s="34"/>
      <c r="CM5" s="107"/>
      <c r="CN5" s="32"/>
      <c r="CO5" s="32"/>
      <c r="CP5" s="32"/>
      <c r="CQ5" s="32"/>
      <c r="CR5" s="32"/>
      <c r="CS5" s="32"/>
      <c r="CT5" s="35"/>
      <c r="CU5" s="2"/>
      <c r="CV5" s="151"/>
      <c r="CW5" s="123"/>
      <c r="CX5" s="123"/>
      <c r="CY5" s="123"/>
      <c r="CZ5" s="84"/>
      <c r="DA5" s="84"/>
    </row>
    <row r="6" spans="1:105" s="125" customFormat="1" ht="65.25" customHeight="1" thickBot="1" x14ac:dyDescent="0.25">
      <c r="A6" s="126"/>
      <c r="B6" s="127"/>
      <c r="C6" s="128"/>
      <c r="D6" s="128"/>
      <c r="E6" s="128"/>
      <c r="F6" s="128"/>
      <c r="G6" s="150"/>
      <c r="H6" s="129"/>
      <c r="I6" s="129"/>
      <c r="J6" s="128"/>
      <c r="K6" s="128"/>
      <c r="L6" s="129"/>
      <c r="M6" s="129"/>
      <c r="N6" s="129"/>
      <c r="O6" s="128"/>
      <c r="Q6" s="68" t="s">
        <v>16</v>
      </c>
      <c r="R6" s="69" t="s">
        <v>17</v>
      </c>
      <c r="S6" s="69" t="s">
        <v>18</v>
      </c>
      <c r="T6" s="69" t="s">
        <v>19</v>
      </c>
      <c r="U6" s="69" t="s">
        <v>20</v>
      </c>
      <c r="V6" s="70" t="s">
        <v>271</v>
      </c>
      <c r="W6" s="108" t="s">
        <v>682</v>
      </c>
      <c r="X6" s="60" t="s">
        <v>21</v>
      </c>
      <c r="Y6" s="60" t="s">
        <v>22</v>
      </c>
      <c r="Z6" s="60" t="s">
        <v>23</v>
      </c>
      <c r="AA6" s="60" t="s">
        <v>24</v>
      </c>
      <c r="AB6" s="154" t="s">
        <v>264</v>
      </c>
      <c r="AC6" s="305" t="s">
        <v>25</v>
      </c>
      <c r="AD6" s="307"/>
      <c r="AE6" s="303" t="s">
        <v>27</v>
      </c>
      <c r="AF6" s="304"/>
      <c r="AG6" s="251" t="s">
        <v>26</v>
      </c>
      <c r="AH6" s="251" t="s">
        <v>28</v>
      </c>
      <c r="AI6" s="154" t="s">
        <v>29</v>
      </c>
      <c r="AJ6" s="252" t="s">
        <v>32</v>
      </c>
      <c r="AK6" s="154" t="s">
        <v>683</v>
      </c>
      <c r="AL6" s="253" t="s">
        <v>684</v>
      </c>
      <c r="AM6" s="61" t="s">
        <v>30</v>
      </c>
      <c r="AN6" s="108" t="s">
        <v>15</v>
      </c>
      <c r="AO6" s="108" t="s">
        <v>31</v>
      </c>
      <c r="AP6" s="108" t="s">
        <v>35</v>
      </c>
      <c r="AQ6" s="305" t="s">
        <v>33</v>
      </c>
      <c r="AR6" s="306"/>
      <c r="AS6" s="304"/>
      <c r="AT6" s="109" t="s">
        <v>34</v>
      </c>
      <c r="AU6" s="61" t="s">
        <v>26</v>
      </c>
      <c r="AV6" s="152" t="s">
        <v>26</v>
      </c>
      <c r="AW6" s="152" t="s">
        <v>273</v>
      </c>
      <c r="AX6" s="152" t="s">
        <v>272</v>
      </c>
      <c r="AY6" s="305" t="s">
        <v>36</v>
      </c>
      <c r="AZ6" s="304"/>
      <c r="BA6" s="152" t="s">
        <v>277</v>
      </c>
      <c r="BB6" s="153" t="s">
        <v>685</v>
      </c>
      <c r="BC6" s="61" t="s">
        <v>26</v>
      </c>
      <c r="BD6" s="152" t="s">
        <v>26</v>
      </c>
      <c r="BE6" s="152" t="s">
        <v>26</v>
      </c>
      <c r="BF6" s="152" t="s">
        <v>26</v>
      </c>
      <c r="BG6" s="152" t="s">
        <v>26</v>
      </c>
      <c r="BH6" s="108" t="s">
        <v>26</v>
      </c>
      <c r="BI6" s="108" t="s">
        <v>26</v>
      </c>
      <c r="BJ6" s="109" t="s">
        <v>26</v>
      </c>
      <c r="BK6" s="303" t="s">
        <v>37</v>
      </c>
      <c r="BL6" s="306"/>
      <c r="BM6" s="306"/>
      <c r="BN6" s="306"/>
      <c r="BO6" s="306"/>
      <c r="BP6" s="306"/>
      <c r="BQ6" s="306"/>
      <c r="BR6" s="307"/>
      <c r="BS6" s="62"/>
      <c r="BT6" s="63" t="s">
        <v>16</v>
      </c>
      <c r="BU6" s="64" t="s">
        <v>17</v>
      </c>
      <c r="BV6" s="64" t="s">
        <v>18</v>
      </c>
      <c r="BW6" s="65" t="s">
        <v>26</v>
      </c>
      <c r="BX6" s="65" t="s">
        <v>26</v>
      </c>
      <c r="BY6" s="308" t="s">
        <v>38</v>
      </c>
      <c r="BZ6" s="309"/>
      <c r="CA6" s="66" t="s">
        <v>39</v>
      </c>
      <c r="CB6" s="308" t="s">
        <v>40</v>
      </c>
      <c r="CC6" s="320"/>
      <c r="CD6" s="321"/>
      <c r="CE6" s="319" t="s">
        <v>41</v>
      </c>
      <c r="CF6" s="320"/>
      <c r="CG6" s="309"/>
      <c r="CH6" s="65" t="s">
        <v>26</v>
      </c>
      <c r="CI6" s="65" t="s">
        <v>26</v>
      </c>
      <c r="CJ6" s="65" t="s">
        <v>26</v>
      </c>
      <c r="CK6" s="65" t="s">
        <v>26</v>
      </c>
      <c r="CL6" s="67" t="s">
        <v>26</v>
      </c>
      <c r="CM6" s="106" t="s">
        <v>26</v>
      </c>
      <c r="CN6" s="106" t="s">
        <v>26</v>
      </c>
      <c r="CO6" s="106" t="s">
        <v>26</v>
      </c>
      <c r="CP6" s="106" t="s">
        <v>26</v>
      </c>
      <c r="CQ6" s="106" t="s">
        <v>26</v>
      </c>
      <c r="CR6" s="106" t="s">
        <v>26</v>
      </c>
      <c r="CS6" s="106" t="s">
        <v>26</v>
      </c>
      <c r="CT6" s="104" t="s">
        <v>26</v>
      </c>
      <c r="CU6" s="2"/>
      <c r="CZ6" s="84"/>
      <c r="DA6" s="84"/>
    </row>
    <row r="7" spans="1:105" ht="15.75" thickTop="1" x14ac:dyDescent="0.2">
      <c r="A7" s="293">
        <v>1</v>
      </c>
      <c r="B7" s="134" t="s">
        <v>206</v>
      </c>
      <c r="C7" s="147" t="s">
        <v>257</v>
      </c>
      <c r="D7" s="147" t="s">
        <v>207</v>
      </c>
      <c r="E7" s="134" t="s">
        <v>208</v>
      </c>
      <c r="F7" s="134" t="s">
        <v>263</v>
      </c>
      <c r="G7" s="147" t="s">
        <v>309</v>
      </c>
      <c r="H7" s="147"/>
      <c r="I7" s="147"/>
      <c r="J7" s="147"/>
      <c r="K7" s="147" t="s">
        <v>209</v>
      </c>
      <c r="L7" s="147" t="s">
        <v>94</v>
      </c>
      <c r="M7" s="147" t="s">
        <v>266</v>
      </c>
      <c r="N7" s="147" t="s">
        <v>94</v>
      </c>
      <c r="O7" s="134" t="s">
        <v>210</v>
      </c>
      <c r="P7" s="134" t="s">
        <v>203</v>
      </c>
      <c r="Q7" s="36" t="str">
        <f>CONCATENATE("0x",DEC2HEX(AD7*1+AC7*2+AB7*4+AA7*8+Z7*16+Y7*32+X7*64+W7*128,2))</f>
        <v>0x51</v>
      </c>
      <c r="R7" s="37" t="str">
        <f>CONCATENATE("0x",DEC2HEX(AL7*1+AK7*2+AJ7*4+AI7*8+AH7*16+AG7*32+AF7*64+AE7*128,2))</f>
        <v>0x7B</v>
      </c>
      <c r="S7" s="37" t="str">
        <f>CONCATENATE("0x",DEC2HEX(AT7*1+AS7*2+AR7*4+AQ7*8+AP7*16+AO7*32+AN7*64+AM7*128,2))</f>
        <v>0x77</v>
      </c>
      <c r="T7" s="37" t="str">
        <f>CONCATENATE("0x",DEC2HEX(BB7*1+BA7*2+AZ7*4+AY7*8+AX7*16+AW7*32+AV7*64+AU7*128,2))</f>
        <v>0x1B</v>
      </c>
      <c r="U7" s="37" t="str">
        <f>CONCATENATE("0x",DEC2HEX(BJ7*1+BI7*2+BH7*4+BG7*8+BF7*16+BE7*32+BD7*64+BC7*128,2))</f>
        <v>0x00</v>
      </c>
      <c r="V7" s="38" t="str">
        <f>CONCATENATE("0x",DEC2HEX(BR7*1+BQ7*2+BP7*4+BO7*8+BN7*16+BM7*32+BL7*64+BK7*128,2))</f>
        <v>0xFF</v>
      </c>
      <c r="W7" s="40">
        <v>0</v>
      </c>
      <c r="X7" s="39">
        <v>1</v>
      </c>
      <c r="Y7" s="39">
        <v>0</v>
      </c>
      <c r="Z7" s="39">
        <v>1</v>
      </c>
      <c r="AA7" s="39">
        <v>0</v>
      </c>
      <c r="AB7" s="5">
        <v>0</v>
      </c>
      <c r="AC7" s="5">
        <v>0</v>
      </c>
      <c r="AD7" s="41">
        <v>1</v>
      </c>
      <c r="AE7" s="6">
        <v>0</v>
      </c>
      <c r="AF7" s="5">
        <v>1</v>
      </c>
      <c r="AG7" s="40">
        <v>1</v>
      </c>
      <c r="AH7" s="40">
        <v>1</v>
      </c>
      <c r="AI7" s="39">
        <v>1</v>
      </c>
      <c r="AJ7" s="39">
        <v>0</v>
      </c>
      <c r="AK7" s="39">
        <v>1</v>
      </c>
      <c r="AL7" s="41">
        <v>1</v>
      </c>
      <c r="AM7" s="42">
        <v>0</v>
      </c>
      <c r="AN7" s="4">
        <v>1</v>
      </c>
      <c r="AO7" s="7">
        <v>1</v>
      </c>
      <c r="AP7" s="295">
        <v>1</v>
      </c>
      <c r="AQ7" s="5">
        <v>0</v>
      </c>
      <c r="AR7" s="5">
        <v>1</v>
      </c>
      <c r="AS7" s="5">
        <v>1</v>
      </c>
      <c r="AT7" s="41">
        <v>1</v>
      </c>
      <c r="AU7" s="6">
        <v>0</v>
      </c>
      <c r="AV7" s="5">
        <v>0</v>
      </c>
      <c r="AW7" s="4">
        <v>0</v>
      </c>
      <c r="AX7" s="4">
        <v>1</v>
      </c>
      <c r="AY7" s="4">
        <v>1</v>
      </c>
      <c r="AZ7" s="4">
        <v>0</v>
      </c>
      <c r="BA7" s="4">
        <v>1</v>
      </c>
      <c r="BB7" s="43">
        <v>1</v>
      </c>
      <c r="BC7" s="42">
        <v>0</v>
      </c>
      <c r="BD7" s="44">
        <v>0</v>
      </c>
      <c r="BE7" s="44">
        <v>0</v>
      </c>
      <c r="BF7" s="44">
        <v>0</v>
      </c>
      <c r="BG7" s="45">
        <v>0</v>
      </c>
      <c r="BH7" s="44">
        <v>0</v>
      </c>
      <c r="BI7" s="44">
        <v>0</v>
      </c>
      <c r="BJ7" s="43">
        <v>0</v>
      </c>
      <c r="BK7" s="46">
        <v>1</v>
      </c>
      <c r="BL7" s="47">
        <v>1</v>
      </c>
      <c r="BM7" s="47">
        <v>1</v>
      </c>
      <c r="BN7" s="47">
        <v>1</v>
      </c>
      <c r="BO7" s="47">
        <v>1</v>
      </c>
      <c r="BP7" s="47">
        <v>1</v>
      </c>
      <c r="BQ7" s="48">
        <v>1</v>
      </c>
      <c r="BR7" s="49">
        <v>1</v>
      </c>
      <c r="BS7" s="50"/>
      <c r="BT7" s="51" t="str">
        <f>CONCATENATE("0x",DEC2HEX(CD7*1+CC7*2+CB7*4+CA7*8+BZ7*16+BY7*32+BX7*64+BW7*128))</f>
        <v>0x21</v>
      </c>
      <c r="BU7" s="51" t="str">
        <f>CONCATENATE("0x",DEC2HEX(CL7*1+CK7*2+CJ7*4+CI7*8+CH7*16+CG7*32+CF7*64+CE7*128))</f>
        <v>0x0</v>
      </c>
      <c r="BV7" s="52" t="str">
        <f>CONCATENATE("0x",DEC2HEX(CT7*1+CS7*2+CR7*4+CQ7*8+CP7*16+CO7*32+CN7*64+CM7*128))</f>
        <v>0x0</v>
      </c>
      <c r="BW7" s="44">
        <v>0</v>
      </c>
      <c r="BX7" s="40">
        <v>0</v>
      </c>
      <c r="BY7" s="40">
        <v>1</v>
      </c>
      <c r="BZ7" s="40">
        <v>0</v>
      </c>
      <c r="CA7" s="53">
        <v>0</v>
      </c>
      <c r="CB7" s="53">
        <v>0</v>
      </c>
      <c r="CC7" s="53">
        <v>0</v>
      </c>
      <c r="CD7" s="54">
        <v>1</v>
      </c>
      <c r="CE7" s="55">
        <v>0</v>
      </c>
      <c r="CF7" s="56">
        <v>0</v>
      </c>
      <c r="CG7" s="56">
        <v>0</v>
      </c>
      <c r="CH7" s="40">
        <v>0</v>
      </c>
      <c r="CI7" s="40">
        <v>0</v>
      </c>
      <c r="CJ7" s="40">
        <v>0</v>
      </c>
      <c r="CK7" s="40">
        <v>0</v>
      </c>
      <c r="CL7" s="57">
        <v>0</v>
      </c>
      <c r="CM7" s="42">
        <v>0</v>
      </c>
      <c r="CN7" s="44">
        <v>0</v>
      </c>
      <c r="CO7" s="44">
        <v>0</v>
      </c>
      <c r="CP7" s="44">
        <v>0</v>
      </c>
      <c r="CQ7" s="44">
        <v>0</v>
      </c>
      <c r="CR7" s="44">
        <v>0</v>
      </c>
      <c r="CS7" s="44">
        <v>0</v>
      </c>
      <c r="CT7" s="43">
        <v>0</v>
      </c>
      <c r="CU7" s="8"/>
      <c r="CV7" s="130" t="s">
        <v>94</v>
      </c>
      <c r="CW7" s="130" t="s">
        <v>94</v>
      </c>
      <c r="CX7" s="131" t="s">
        <v>94</v>
      </c>
      <c r="CY7" s="131" t="s">
        <v>94</v>
      </c>
    </row>
    <row r="8" spans="1:105" ht="15" x14ac:dyDescent="0.2">
      <c r="A8" s="240">
        <v>2</v>
      </c>
      <c r="B8" s="290" t="s">
        <v>211</v>
      </c>
      <c r="C8" s="148" t="s">
        <v>257</v>
      </c>
      <c r="D8" s="148" t="s">
        <v>207</v>
      </c>
      <c r="E8" s="135" t="s">
        <v>212</v>
      </c>
      <c r="F8" s="135" t="s">
        <v>45</v>
      </c>
      <c r="G8" s="148" t="s">
        <v>661</v>
      </c>
      <c r="H8" s="148" t="s">
        <v>94</v>
      </c>
      <c r="I8" s="148" t="s">
        <v>94</v>
      </c>
      <c r="J8" s="148"/>
      <c r="K8" s="148" t="s">
        <v>209</v>
      </c>
      <c r="L8" s="148" t="s">
        <v>94</v>
      </c>
      <c r="M8" s="148" t="s">
        <v>266</v>
      </c>
      <c r="N8" s="148" t="s">
        <v>94</v>
      </c>
      <c r="O8" s="135" t="s">
        <v>213</v>
      </c>
      <c r="P8" s="135" t="s">
        <v>203</v>
      </c>
      <c r="Q8" s="36" t="str">
        <f t="shared" ref="Q8:Q47" si="0">CONCATENATE("0x",DEC2HEX(AD8*1+AC8*2+AB8*4+AA8*8+Z8*16+Y8*32+X8*64+W8*128,2))</f>
        <v>0x29</v>
      </c>
      <c r="R8" s="37" t="str">
        <f t="shared" ref="R8:R47" si="1">CONCATENATE("0x",DEC2HEX(AL8*1+AK8*2+AJ8*4+AI8*8+AH8*16+AG8*32+AF8*64+AE8*128,2))</f>
        <v>0x7B</v>
      </c>
      <c r="S8" s="37" t="str">
        <f>CONCATENATE("0x",DEC2HEX(AT8*1+AS8*2+AR8*4+AQ8*8+AP8*16+AO8*32+AN8*64+AM8*128,2))</f>
        <v>0x77</v>
      </c>
      <c r="T8" s="37" t="str">
        <f t="shared" ref="T8:T47" si="2">CONCATENATE("0x",DEC2HEX(BB8*1+BA8*2+AZ8*4+AY8*8+AX8*16+AW8*32+AV8*64+AU8*128,2))</f>
        <v>0x0A</v>
      </c>
      <c r="U8" s="37" t="str">
        <f t="shared" ref="U8:U47" si="3">CONCATENATE("0x",DEC2HEX(BJ8*1+BI8*2+BH8*4+BG8*8+BF8*16+BE8*32+BD8*64+BC8*128,2))</f>
        <v>0x00</v>
      </c>
      <c r="V8" s="38" t="str">
        <f t="shared" ref="V8:V47" si="4">CONCATENATE("0x",DEC2HEX(BR8*1+BQ8*2+BP8*4+BO8*8+BN8*16+BM8*32+BL8*64+BK8*128,2))</f>
        <v>0xFF</v>
      </c>
      <c r="W8" s="40">
        <v>0</v>
      </c>
      <c r="X8" s="39">
        <v>0</v>
      </c>
      <c r="Y8" s="39">
        <v>1</v>
      </c>
      <c r="Z8" s="39">
        <v>0</v>
      </c>
      <c r="AA8" s="39">
        <v>1</v>
      </c>
      <c r="AB8" s="5">
        <v>0</v>
      </c>
      <c r="AC8" s="5">
        <v>0</v>
      </c>
      <c r="AD8" s="41">
        <v>1</v>
      </c>
      <c r="AE8" s="6">
        <v>0</v>
      </c>
      <c r="AF8" s="5">
        <v>1</v>
      </c>
      <c r="AG8" s="40">
        <v>1</v>
      </c>
      <c r="AH8" s="40">
        <v>1</v>
      </c>
      <c r="AI8" s="39">
        <v>1</v>
      </c>
      <c r="AJ8" s="39">
        <v>0</v>
      </c>
      <c r="AK8" s="39">
        <v>1</v>
      </c>
      <c r="AL8" s="41">
        <v>1</v>
      </c>
      <c r="AM8" s="42">
        <v>0</v>
      </c>
      <c r="AN8" s="4">
        <v>1</v>
      </c>
      <c r="AO8" s="85">
        <v>1</v>
      </c>
      <c r="AP8" s="295">
        <v>1</v>
      </c>
      <c r="AQ8" s="5">
        <v>0</v>
      </c>
      <c r="AR8" s="5">
        <v>1</v>
      </c>
      <c r="AS8" s="5">
        <v>1</v>
      </c>
      <c r="AT8" s="41">
        <v>1</v>
      </c>
      <c r="AU8" s="6">
        <v>0</v>
      </c>
      <c r="AV8" s="5">
        <v>0</v>
      </c>
      <c r="AW8" s="4">
        <v>0</v>
      </c>
      <c r="AX8" s="4">
        <v>0</v>
      </c>
      <c r="AY8" s="4">
        <v>1</v>
      </c>
      <c r="AZ8" s="4">
        <v>0</v>
      </c>
      <c r="BA8" s="4">
        <v>1</v>
      </c>
      <c r="BB8" s="43">
        <v>0</v>
      </c>
      <c r="BC8" s="42">
        <v>0</v>
      </c>
      <c r="BD8" s="44">
        <v>0</v>
      </c>
      <c r="BE8" s="44">
        <v>0</v>
      </c>
      <c r="BF8" s="44">
        <v>0</v>
      </c>
      <c r="BG8" s="45">
        <v>0</v>
      </c>
      <c r="BH8" s="44">
        <v>0</v>
      </c>
      <c r="BI8" s="44">
        <v>0</v>
      </c>
      <c r="BJ8" s="43">
        <v>0</v>
      </c>
      <c r="BK8" s="46">
        <v>1</v>
      </c>
      <c r="BL8" s="47">
        <v>1</v>
      </c>
      <c r="BM8" s="47">
        <v>1</v>
      </c>
      <c r="BN8" s="47">
        <v>1</v>
      </c>
      <c r="BO8" s="47">
        <v>1</v>
      </c>
      <c r="BP8" s="47">
        <v>1</v>
      </c>
      <c r="BQ8" s="48">
        <v>1</v>
      </c>
      <c r="BR8" s="49">
        <v>1</v>
      </c>
      <c r="BS8" s="50"/>
      <c r="BT8" s="51" t="str">
        <f t="shared" ref="BT8:BT51" si="5">CONCATENATE("0x",DEC2HEX(CD8*1+CC8*2+CB8*4+CA8*8+BZ8*16+BY8*32+BX8*64+BW8*128))</f>
        <v>0x21</v>
      </c>
      <c r="BU8" s="51" t="str">
        <f t="shared" ref="BU8:BU51" si="6">CONCATENATE("0x",DEC2HEX(CL8*1+CK8*2+CJ8*4+CI8*8+CH8*16+CG8*32+CF8*64+CE8*128))</f>
        <v>0x0</v>
      </c>
      <c r="BV8" s="52" t="str">
        <f t="shared" ref="BV8:BV51" si="7">CONCATENATE("0x",DEC2HEX(CT8*1+CS8*2+CR8*4+CQ8*8+CP8*16+CO8*32+CN8*64+CM8*128))</f>
        <v>0x0</v>
      </c>
      <c r="BW8" s="44">
        <v>0</v>
      </c>
      <c r="BX8" s="40">
        <v>0</v>
      </c>
      <c r="BY8" s="40">
        <v>1</v>
      </c>
      <c r="BZ8" s="40">
        <v>0</v>
      </c>
      <c r="CA8" s="53">
        <v>0</v>
      </c>
      <c r="CB8" s="53">
        <v>0</v>
      </c>
      <c r="CC8" s="53">
        <v>0</v>
      </c>
      <c r="CD8" s="54">
        <v>1</v>
      </c>
      <c r="CE8" s="55">
        <v>0</v>
      </c>
      <c r="CF8" s="56">
        <v>0</v>
      </c>
      <c r="CG8" s="56">
        <v>0</v>
      </c>
      <c r="CH8" s="40">
        <v>0</v>
      </c>
      <c r="CI8" s="40">
        <v>0</v>
      </c>
      <c r="CJ8" s="40">
        <v>0</v>
      </c>
      <c r="CK8" s="40">
        <v>0</v>
      </c>
      <c r="CL8" s="57">
        <v>0</v>
      </c>
      <c r="CM8" s="42">
        <v>0</v>
      </c>
      <c r="CN8" s="44">
        <v>0</v>
      </c>
      <c r="CO8" s="44">
        <v>0</v>
      </c>
      <c r="CP8" s="44">
        <v>0</v>
      </c>
      <c r="CQ8" s="44">
        <v>0</v>
      </c>
      <c r="CR8" s="44">
        <v>0</v>
      </c>
      <c r="CS8" s="44">
        <v>0</v>
      </c>
      <c r="CT8" s="43">
        <v>0</v>
      </c>
      <c r="CU8" s="8"/>
      <c r="CV8" s="132" t="s">
        <v>94</v>
      </c>
      <c r="CW8" s="132" t="s">
        <v>94</v>
      </c>
      <c r="CX8" s="133" t="s">
        <v>94</v>
      </c>
      <c r="CY8" s="133" t="s">
        <v>94</v>
      </c>
    </row>
    <row r="9" spans="1:105" ht="15" x14ac:dyDescent="0.2">
      <c r="A9" s="240">
        <v>3</v>
      </c>
      <c r="B9" s="290" t="s">
        <v>214</v>
      </c>
      <c r="C9" s="148" t="s">
        <v>257</v>
      </c>
      <c r="D9" s="148" t="s">
        <v>207</v>
      </c>
      <c r="E9" s="135" t="s">
        <v>212</v>
      </c>
      <c r="F9" s="135" t="s">
        <v>45</v>
      </c>
      <c r="G9" s="148" t="s">
        <v>662</v>
      </c>
      <c r="H9" s="148"/>
      <c r="I9" s="148" t="s">
        <v>94</v>
      </c>
      <c r="J9" s="148" t="s">
        <v>94</v>
      </c>
      <c r="K9" s="148"/>
      <c r="L9" s="148" t="s">
        <v>94</v>
      </c>
      <c r="M9" s="148" t="s">
        <v>266</v>
      </c>
      <c r="N9" s="148" t="s">
        <v>94</v>
      </c>
      <c r="O9" s="135"/>
      <c r="P9" s="135" t="s">
        <v>203</v>
      </c>
      <c r="Q9" s="36" t="str">
        <f t="shared" si="0"/>
        <v>0x22</v>
      </c>
      <c r="R9" s="37" t="str">
        <f t="shared" si="1"/>
        <v>0x7B</v>
      </c>
      <c r="S9" s="37" t="str">
        <f t="shared" ref="S9:S47" si="8">CONCATENATE("0x",DEC2HEX(AT9*1+AS9*2+AR9*4+AQ9*8+AP9*16+AO9*32+AN9*64+AM9*128,2))</f>
        <v>0x67</v>
      </c>
      <c r="T9" s="37" t="str">
        <f t="shared" si="2"/>
        <v>0x0A</v>
      </c>
      <c r="U9" s="37" t="str">
        <f t="shared" si="3"/>
        <v>0x00</v>
      </c>
      <c r="V9" s="38" t="str">
        <f t="shared" si="4"/>
        <v>0xFF</v>
      </c>
      <c r="W9" s="40">
        <v>0</v>
      </c>
      <c r="X9" s="39">
        <v>0</v>
      </c>
      <c r="Y9" s="39">
        <v>1</v>
      </c>
      <c r="Z9" s="39">
        <v>0</v>
      </c>
      <c r="AA9" s="39">
        <v>0</v>
      </c>
      <c r="AB9" s="5">
        <v>0</v>
      </c>
      <c r="AC9" s="5">
        <v>1</v>
      </c>
      <c r="AD9" s="41">
        <v>0</v>
      </c>
      <c r="AE9" s="6">
        <v>0</v>
      </c>
      <c r="AF9" s="5">
        <v>1</v>
      </c>
      <c r="AG9" s="40">
        <v>1</v>
      </c>
      <c r="AH9" s="40">
        <v>1</v>
      </c>
      <c r="AI9" s="39">
        <v>1</v>
      </c>
      <c r="AJ9" s="39">
        <v>0</v>
      </c>
      <c r="AK9" s="39">
        <v>1</v>
      </c>
      <c r="AL9" s="41">
        <v>1</v>
      </c>
      <c r="AM9" s="42">
        <v>0</v>
      </c>
      <c r="AN9" s="4">
        <v>1</v>
      </c>
      <c r="AO9" s="7">
        <v>1</v>
      </c>
      <c r="AP9" s="4">
        <v>0</v>
      </c>
      <c r="AQ9" s="5">
        <v>0</v>
      </c>
      <c r="AR9" s="5">
        <v>1</v>
      </c>
      <c r="AS9" s="5">
        <v>1</v>
      </c>
      <c r="AT9" s="41">
        <v>1</v>
      </c>
      <c r="AU9" s="6">
        <v>0</v>
      </c>
      <c r="AV9" s="5">
        <v>0</v>
      </c>
      <c r="AW9" s="4">
        <v>0</v>
      </c>
      <c r="AX9" s="4">
        <v>0</v>
      </c>
      <c r="AY9" s="4">
        <v>1</v>
      </c>
      <c r="AZ9" s="4">
        <v>0</v>
      </c>
      <c r="BA9" s="4">
        <v>1</v>
      </c>
      <c r="BB9" s="43">
        <v>0</v>
      </c>
      <c r="BC9" s="42">
        <v>0</v>
      </c>
      <c r="BD9" s="44">
        <v>0</v>
      </c>
      <c r="BE9" s="44">
        <v>0</v>
      </c>
      <c r="BF9" s="44">
        <v>0</v>
      </c>
      <c r="BG9" s="45">
        <v>0</v>
      </c>
      <c r="BH9" s="44">
        <v>0</v>
      </c>
      <c r="BI9" s="44">
        <v>0</v>
      </c>
      <c r="BJ9" s="43">
        <v>0</v>
      </c>
      <c r="BK9" s="46">
        <v>1</v>
      </c>
      <c r="BL9" s="47">
        <v>1</v>
      </c>
      <c r="BM9" s="47">
        <v>1</v>
      </c>
      <c r="BN9" s="47">
        <v>1</v>
      </c>
      <c r="BO9" s="47">
        <v>1</v>
      </c>
      <c r="BP9" s="47">
        <v>1</v>
      </c>
      <c r="BQ9" s="48">
        <v>1</v>
      </c>
      <c r="BR9" s="49">
        <v>1</v>
      </c>
      <c r="BS9" s="50"/>
      <c r="BT9" s="51" t="str">
        <f t="shared" si="5"/>
        <v>0x21</v>
      </c>
      <c r="BU9" s="51" t="str">
        <f t="shared" si="6"/>
        <v>0x0</v>
      </c>
      <c r="BV9" s="52" t="str">
        <f t="shared" si="7"/>
        <v>0x0</v>
      </c>
      <c r="BW9" s="44">
        <v>0</v>
      </c>
      <c r="BX9" s="40">
        <v>0</v>
      </c>
      <c r="BY9" s="40">
        <v>1</v>
      </c>
      <c r="BZ9" s="40">
        <v>0</v>
      </c>
      <c r="CA9" s="53">
        <v>0</v>
      </c>
      <c r="CB9" s="53">
        <v>0</v>
      </c>
      <c r="CC9" s="53">
        <v>0</v>
      </c>
      <c r="CD9" s="54">
        <v>1</v>
      </c>
      <c r="CE9" s="55">
        <v>0</v>
      </c>
      <c r="CF9" s="56">
        <v>0</v>
      </c>
      <c r="CG9" s="56">
        <v>0</v>
      </c>
      <c r="CH9" s="40">
        <v>0</v>
      </c>
      <c r="CI9" s="40">
        <v>0</v>
      </c>
      <c r="CJ9" s="40">
        <v>0</v>
      </c>
      <c r="CK9" s="40">
        <v>0</v>
      </c>
      <c r="CL9" s="57">
        <v>0</v>
      </c>
      <c r="CM9" s="42">
        <v>0</v>
      </c>
      <c r="CN9" s="44">
        <v>0</v>
      </c>
      <c r="CO9" s="44">
        <v>0</v>
      </c>
      <c r="CP9" s="44">
        <v>0</v>
      </c>
      <c r="CQ9" s="44">
        <v>0</v>
      </c>
      <c r="CR9" s="44">
        <v>0</v>
      </c>
      <c r="CS9" s="44">
        <v>0</v>
      </c>
      <c r="CT9" s="43">
        <v>0</v>
      </c>
      <c r="CU9" s="8"/>
      <c r="CV9" s="132" t="s">
        <v>94</v>
      </c>
      <c r="CW9" s="132" t="s">
        <v>94</v>
      </c>
      <c r="CX9" s="133"/>
      <c r="CY9" s="133" t="s">
        <v>94</v>
      </c>
    </row>
    <row r="10" spans="1:105" ht="15" x14ac:dyDescent="0.2">
      <c r="A10" s="240">
        <v>4</v>
      </c>
      <c r="B10" s="290" t="s">
        <v>215</v>
      </c>
      <c r="C10" s="148" t="s">
        <v>257</v>
      </c>
      <c r="D10" s="148" t="s">
        <v>216</v>
      </c>
      <c r="E10" s="135" t="s">
        <v>212</v>
      </c>
      <c r="F10" s="135" t="s">
        <v>263</v>
      </c>
      <c r="G10" s="148" t="s">
        <v>309</v>
      </c>
      <c r="H10" s="148"/>
      <c r="I10" s="148"/>
      <c r="J10" s="148"/>
      <c r="K10" s="148" t="s">
        <v>217</v>
      </c>
      <c r="L10" s="148"/>
      <c r="M10" s="148" t="s">
        <v>266</v>
      </c>
      <c r="N10" s="148"/>
      <c r="O10" s="135" t="s">
        <v>210</v>
      </c>
      <c r="P10" s="135" t="s">
        <v>204</v>
      </c>
      <c r="Q10" s="36" t="str">
        <f t="shared" si="0"/>
        <v>0x11</v>
      </c>
      <c r="R10" s="37" t="str">
        <f t="shared" si="1"/>
        <v>0x6B</v>
      </c>
      <c r="S10" s="37" t="str">
        <f t="shared" si="8"/>
        <v>0x76</v>
      </c>
      <c r="T10" s="37" t="str">
        <f t="shared" si="2"/>
        <v>0x07</v>
      </c>
      <c r="U10" s="37" t="str">
        <f t="shared" si="3"/>
        <v>0x00</v>
      </c>
      <c r="V10" s="38" t="str">
        <f t="shared" si="4"/>
        <v>0xFF</v>
      </c>
      <c r="W10" s="40">
        <v>0</v>
      </c>
      <c r="X10" s="39">
        <v>0</v>
      </c>
      <c r="Y10" s="39">
        <v>0</v>
      </c>
      <c r="Z10" s="39">
        <v>1</v>
      </c>
      <c r="AA10" s="39">
        <v>0</v>
      </c>
      <c r="AB10" s="5">
        <v>0</v>
      </c>
      <c r="AC10" s="5">
        <v>0</v>
      </c>
      <c r="AD10" s="41">
        <v>1</v>
      </c>
      <c r="AE10" s="6">
        <v>0</v>
      </c>
      <c r="AF10" s="5">
        <v>1</v>
      </c>
      <c r="AG10" s="40">
        <v>1</v>
      </c>
      <c r="AH10" s="40">
        <v>0</v>
      </c>
      <c r="AI10" s="39">
        <v>1</v>
      </c>
      <c r="AJ10" s="39">
        <v>0</v>
      </c>
      <c r="AK10" s="39">
        <v>1</v>
      </c>
      <c r="AL10" s="41">
        <v>1</v>
      </c>
      <c r="AM10" s="42">
        <v>0</v>
      </c>
      <c r="AN10" s="4">
        <v>1</v>
      </c>
      <c r="AO10" s="7">
        <v>1</v>
      </c>
      <c r="AP10" s="295">
        <v>1</v>
      </c>
      <c r="AQ10" s="5">
        <v>0</v>
      </c>
      <c r="AR10" s="5">
        <v>1</v>
      </c>
      <c r="AS10" s="5">
        <v>1</v>
      </c>
      <c r="AT10" s="41">
        <v>0</v>
      </c>
      <c r="AU10" s="6">
        <v>0</v>
      </c>
      <c r="AV10" s="5">
        <v>0</v>
      </c>
      <c r="AW10" s="4">
        <v>0</v>
      </c>
      <c r="AX10" s="4">
        <v>0</v>
      </c>
      <c r="AY10" s="4">
        <v>0</v>
      </c>
      <c r="AZ10" s="4">
        <v>1</v>
      </c>
      <c r="BA10" s="4">
        <v>1</v>
      </c>
      <c r="BB10" s="43">
        <v>1</v>
      </c>
      <c r="BC10" s="42">
        <v>0</v>
      </c>
      <c r="BD10" s="44">
        <v>0</v>
      </c>
      <c r="BE10" s="44">
        <v>0</v>
      </c>
      <c r="BF10" s="44">
        <v>0</v>
      </c>
      <c r="BG10" s="45">
        <v>0</v>
      </c>
      <c r="BH10" s="44">
        <v>0</v>
      </c>
      <c r="BI10" s="44">
        <v>0</v>
      </c>
      <c r="BJ10" s="43">
        <v>0</v>
      </c>
      <c r="BK10" s="46">
        <v>1</v>
      </c>
      <c r="BL10" s="47">
        <v>1</v>
      </c>
      <c r="BM10" s="47">
        <v>1</v>
      </c>
      <c r="BN10" s="47">
        <v>1</v>
      </c>
      <c r="BO10" s="47">
        <v>1</v>
      </c>
      <c r="BP10" s="47">
        <v>1</v>
      </c>
      <c r="BQ10" s="48">
        <v>1</v>
      </c>
      <c r="BR10" s="49">
        <v>1</v>
      </c>
      <c r="BS10" s="50"/>
      <c r="BT10" s="51" t="str">
        <f t="shared" si="5"/>
        <v>0x21</v>
      </c>
      <c r="BU10" s="51" t="str">
        <f t="shared" si="6"/>
        <v>0x0</v>
      </c>
      <c r="BV10" s="52" t="str">
        <f t="shared" si="7"/>
        <v>0x0</v>
      </c>
      <c r="BW10" s="44">
        <v>0</v>
      </c>
      <c r="BX10" s="40">
        <v>0</v>
      </c>
      <c r="BY10" s="40">
        <v>1</v>
      </c>
      <c r="BZ10" s="40">
        <v>0</v>
      </c>
      <c r="CA10" s="53">
        <v>0</v>
      </c>
      <c r="CB10" s="53">
        <v>0</v>
      </c>
      <c r="CC10" s="53">
        <v>0</v>
      </c>
      <c r="CD10" s="54">
        <v>1</v>
      </c>
      <c r="CE10" s="55">
        <v>0</v>
      </c>
      <c r="CF10" s="56">
        <v>0</v>
      </c>
      <c r="CG10" s="56">
        <v>0</v>
      </c>
      <c r="CH10" s="40">
        <v>0</v>
      </c>
      <c r="CI10" s="40">
        <v>0</v>
      </c>
      <c r="CJ10" s="40">
        <v>0</v>
      </c>
      <c r="CK10" s="40">
        <v>0</v>
      </c>
      <c r="CL10" s="57">
        <v>0</v>
      </c>
      <c r="CM10" s="42">
        <v>0</v>
      </c>
      <c r="CN10" s="44">
        <v>0</v>
      </c>
      <c r="CO10" s="44">
        <v>0</v>
      </c>
      <c r="CP10" s="44">
        <v>0</v>
      </c>
      <c r="CQ10" s="44">
        <v>0</v>
      </c>
      <c r="CR10" s="44">
        <v>0</v>
      </c>
      <c r="CS10" s="44">
        <v>0</v>
      </c>
      <c r="CT10" s="43">
        <v>0</v>
      </c>
      <c r="CU10" s="8"/>
      <c r="CV10" s="132" t="s">
        <v>94</v>
      </c>
      <c r="CW10" s="132"/>
      <c r="CX10" s="133" t="s">
        <v>94</v>
      </c>
      <c r="CY10" s="133"/>
    </row>
    <row r="11" spans="1:105" ht="15" x14ac:dyDescent="0.2">
      <c r="A11" s="240">
        <v>5</v>
      </c>
      <c r="B11" s="290" t="s">
        <v>690</v>
      </c>
      <c r="C11" s="148" t="s">
        <v>257</v>
      </c>
      <c r="D11" s="148" t="s">
        <v>216</v>
      </c>
      <c r="E11" s="135" t="s">
        <v>212</v>
      </c>
      <c r="F11" s="135" t="s">
        <v>263</v>
      </c>
      <c r="G11" s="148" t="s">
        <v>309</v>
      </c>
      <c r="H11" s="148"/>
      <c r="I11" s="148"/>
      <c r="J11" s="148"/>
      <c r="K11" s="148" t="s">
        <v>217</v>
      </c>
      <c r="L11" s="148"/>
      <c r="M11" s="148" t="s">
        <v>266</v>
      </c>
      <c r="N11" s="148"/>
      <c r="O11" s="135" t="s">
        <v>210</v>
      </c>
      <c r="P11" s="135" t="s">
        <v>204</v>
      </c>
      <c r="Q11" s="36" t="str">
        <f t="shared" ref="Q11" si="9">CONCATENATE("0x",DEC2HEX(AD11*1+AC11*2+AB11*4+AA11*8+Z11*16+Y11*32+X11*64+W11*128,2))</f>
        <v>0x11</v>
      </c>
      <c r="R11" s="37" t="str">
        <f t="shared" ref="R11" si="10">CONCATENATE("0x",DEC2HEX(AL11*1+AK11*2+AJ11*4+AI11*8+AH11*16+AG11*32+AF11*64+AE11*128,2))</f>
        <v>0x6B</v>
      </c>
      <c r="S11" s="37" t="str">
        <f t="shared" ref="S11" si="11">CONCATENATE("0x",DEC2HEX(AT11*1+AS11*2+AR11*4+AQ11*8+AP11*16+AO11*32+AN11*64+AM11*128,2))</f>
        <v>0x76</v>
      </c>
      <c r="T11" s="37" t="str">
        <f t="shared" ref="T11" si="12">CONCATENATE("0x",DEC2HEX(BB11*1+BA11*2+AZ11*4+AY11*8+AX11*16+AW11*32+AV11*64+AU11*128,2))</f>
        <v>0x07</v>
      </c>
      <c r="U11" s="37" t="str">
        <f t="shared" ref="U11" si="13">CONCATENATE("0x",DEC2HEX(BJ11*1+BI11*2+BH11*4+BG11*8+BF11*16+BE11*32+BD11*64+BC11*128,2))</f>
        <v>0x00</v>
      </c>
      <c r="V11" s="38" t="str">
        <f t="shared" ref="V11" si="14">CONCATENATE("0x",DEC2HEX(BR11*1+BQ11*2+BP11*4+BO11*8+BN11*16+BM11*32+BL11*64+BK11*128,2))</f>
        <v>0xFF</v>
      </c>
      <c r="W11" s="40">
        <v>0</v>
      </c>
      <c r="X11" s="39">
        <v>0</v>
      </c>
      <c r="Y11" s="39">
        <v>0</v>
      </c>
      <c r="Z11" s="39">
        <v>1</v>
      </c>
      <c r="AA11" s="39">
        <v>0</v>
      </c>
      <c r="AB11" s="5">
        <v>0</v>
      </c>
      <c r="AC11" s="5">
        <v>0</v>
      </c>
      <c r="AD11" s="41">
        <v>1</v>
      </c>
      <c r="AE11" s="6">
        <v>0</v>
      </c>
      <c r="AF11" s="5">
        <v>1</v>
      </c>
      <c r="AG11" s="40">
        <v>1</v>
      </c>
      <c r="AH11" s="40">
        <v>0</v>
      </c>
      <c r="AI11" s="39">
        <v>1</v>
      </c>
      <c r="AJ11" s="39">
        <v>0</v>
      </c>
      <c r="AK11" s="39">
        <v>1</v>
      </c>
      <c r="AL11" s="41">
        <v>1</v>
      </c>
      <c r="AM11" s="42">
        <v>0</v>
      </c>
      <c r="AN11" s="4">
        <v>1</v>
      </c>
      <c r="AO11" s="7">
        <v>1</v>
      </c>
      <c r="AP11" s="295">
        <v>1</v>
      </c>
      <c r="AQ11" s="5">
        <v>0</v>
      </c>
      <c r="AR11" s="5">
        <v>1</v>
      </c>
      <c r="AS11" s="5">
        <v>1</v>
      </c>
      <c r="AT11" s="41">
        <v>0</v>
      </c>
      <c r="AU11" s="6">
        <v>0</v>
      </c>
      <c r="AV11" s="5">
        <v>0</v>
      </c>
      <c r="AW11" s="4">
        <v>0</v>
      </c>
      <c r="AX11" s="4">
        <v>0</v>
      </c>
      <c r="AY11" s="4">
        <v>0</v>
      </c>
      <c r="AZ11" s="4">
        <v>1</v>
      </c>
      <c r="BA11" s="4">
        <v>1</v>
      </c>
      <c r="BB11" s="43">
        <v>1</v>
      </c>
      <c r="BC11" s="42">
        <v>0</v>
      </c>
      <c r="BD11" s="44">
        <v>0</v>
      </c>
      <c r="BE11" s="44">
        <v>0</v>
      </c>
      <c r="BF11" s="44">
        <v>0</v>
      </c>
      <c r="BG11" s="45">
        <v>0</v>
      </c>
      <c r="BH11" s="44">
        <v>0</v>
      </c>
      <c r="BI11" s="44">
        <v>0</v>
      </c>
      <c r="BJ11" s="43">
        <v>0</v>
      </c>
      <c r="BK11" s="46">
        <v>1</v>
      </c>
      <c r="BL11" s="47">
        <v>1</v>
      </c>
      <c r="BM11" s="47">
        <v>1</v>
      </c>
      <c r="BN11" s="47">
        <v>1</v>
      </c>
      <c r="BO11" s="47">
        <v>1</v>
      </c>
      <c r="BP11" s="47">
        <v>1</v>
      </c>
      <c r="BQ11" s="48">
        <v>1</v>
      </c>
      <c r="BR11" s="49">
        <v>1</v>
      </c>
      <c r="BS11" s="50"/>
      <c r="BT11" s="51" t="str">
        <f t="shared" ref="BT11" si="15">CONCATENATE("0x",DEC2HEX(CD11*1+CC11*2+CB11*4+CA11*8+BZ11*16+BY11*32+BX11*64+BW11*128))</f>
        <v>0x21</v>
      </c>
      <c r="BU11" s="51" t="str">
        <f t="shared" ref="BU11" si="16">CONCATENATE("0x",DEC2HEX(CL11*1+CK11*2+CJ11*4+CI11*8+CH11*16+CG11*32+CF11*64+CE11*128))</f>
        <v>0x0</v>
      </c>
      <c r="BV11" s="52" t="str">
        <f t="shared" ref="BV11" si="17">CONCATENATE("0x",DEC2HEX(CT11*1+CS11*2+CR11*4+CQ11*8+CP11*16+CO11*32+CN11*64+CM11*128))</f>
        <v>0x0</v>
      </c>
      <c r="BW11" s="44">
        <v>0</v>
      </c>
      <c r="BX11" s="40">
        <v>0</v>
      </c>
      <c r="BY11" s="40">
        <v>1</v>
      </c>
      <c r="BZ11" s="40">
        <v>0</v>
      </c>
      <c r="CA11" s="53">
        <v>0</v>
      </c>
      <c r="CB11" s="53">
        <v>0</v>
      </c>
      <c r="CC11" s="53">
        <v>0</v>
      </c>
      <c r="CD11" s="54">
        <v>1</v>
      </c>
      <c r="CE11" s="55">
        <v>0</v>
      </c>
      <c r="CF11" s="56">
        <v>0</v>
      </c>
      <c r="CG11" s="56">
        <v>0</v>
      </c>
      <c r="CH11" s="40">
        <v>0</v>
      </c>
      <c r="CI11" s="40">
        <v>0</v>
      </c>
      <c r="CJ11" s="40">
        <v>0</v>
      </c>
      <c r="CK11" s="40">
        <v>0</v>
      </c>
      <c r="CL11" s="57">
        <v>0</v>
      </c>
      <c r="CM11" s="42">
        <v>0</v>
      </c>
      <c r="CN11" s="44">
        <v>0</v>
      </c>
      <c r="CO11" s="44">
        <v>0</v>
      </c>
      <c r="CP11" s="44">
        <v>0</v>
      </c>
      <c r="CQ11" s="44">
        <v>0</v>
      </c>
      <c r="CR11" s="44">
        <v>0</v>
      </c>
      <c r="CS11" s="44">
        <v>0</v>
      </c>
      <c r="CT11" s="43">
        <v>0</v>
      </c>
      <c r="CU11" s="8"/>
      <c r="CV11" s="132" t="s">
        <v>94</v>
      </c>
      <c r="CW11" s="132"/>
      <c r="CX11" s="133" t="s">
        <v>94</v>
      </c>
      <c r="CY11" s="133"/>
    </row>
    <row r="12" spans="1:105" ht="15" x14ac:dyDescent="0.2">
      <c r="A12" s="240">
        <v>6</v>
      </c>
      <c r="B12" s="290" t="s">
        <v>218</v>
      </c>
      <c r="C12" s="148" t="s">
        <v>257</v>
      </c>
      <c r="D12" s="148" t="s">
        <v>207</v>
      </c>
      <c r="E12" s="135" t="s">
        <v>212</v>
      </c>
      <c r="F12" s="135" t="s">
        <v>263</v>
      </c>
      <c r="G12" s="148" t="s">
        <v>309</v>
      </c>
      <c r="H12" s="148"/>
      <c r="I12" s="148"/>
      <c r="J12" s="148"/>
      <c r="K12" s="148" t="s">
        <v>209</v>
      </c>
      <c r="L12" s="148" t="s">
        <v>94</v>
      </c>
      <c r="M12" s="148" t="s">
        <v>266</v>
      </c>
      <c r="N12" s="148" t="s">
        <v>94</v>
      </c>
      <c r="O12" s="135" t="s">
        <v>210</v>
      </c>
      <c r="P12" s="135" t="s">
        <v>203</v>
      </c>
      <c r="Q12" s="36" t="str">
        <f t="shared" si="0"/>
        <v>0x11</v>
      </c>
      <c r="R12" s="37" t="str">
        <f t="shared" si="1"/>
        <v>0x7B</v>
      </c>
      <c r="S12" s="37" t="str">
        <f t="shared" si="8"/>
        <v>0x77</v>
      </c>
      <c r="T12" s="37" t="str">
        <f t="shared" si="2"/>
        <v>0x1B</v>
      </c>
      <c r="U12" s="37" t="str">
        <f t="shared" si="3"/>
        <v>0x00</v>
      </c>
      <c r="V12" s="38" t="str">
        <f t="shared" si="4"/>
        <v>0xFF</v>
      </c>
      <c r="W12" s="40">
        <v>0</v>
      </c>
      <c r="X12" s="39">
        <v>0</v>
      </c>
      <c r="Y12" s="39">
        <v>0</v>
      </c>
      <c r="Z12" s="39">
        <v>1</v>
      </c>
      <c r="AA12" s="39">
        <v>0</v>
      </c>
      <c r="AB12" s="5">
        <v>0</v>
      </c>
      <c r="AC12" s="5">
        <v>0</v>
      </c>
      <c r="AD12" s="41">
        <v>1</v>
      </c>
      <c r="AE12" s="6">
        <v>0</v>
      </c>
      <c r="AF12" s="5">
        <v>1</v>
      </c>
      <c r="AG12" s="40">
        <v>1</v>
      </c>
      <c r="AH12" s="40">
        <v>1</v>
      </c>
      <c r="AI12" s="39">
        <v>1</v>
      </c>
      <c r="AJ12" s="39">
        <v>0</v>
      </c>
      <c r="AK12" s="39">
        <v>1</v>
      </c>
      <c r="AL12" s="41">
        <v>1</v>
      </c>
      <c r="AM12" s="42">
        <v>0</v>
      </c>
      <c r="AN12" s="4">
        <v>1</v>
      </c>
      <c r="AO12" s="7">
        <v>1</v>
      </c>
      <c r="AP12" s="295">
        <v>1</v>
      </c>
      <c r="AQ12" s="5">
        <v>0</v>
      </c>
      <c r="AR12" s="5">
        <v>1</v>
      </c>
      <c r="AS12" s="5">
        <v>1</v>
      </c>
      <c r="AT12" s="41">
        <v>1</v>
      </c>
      <c r="AU12" s="6">
        <v>0</v>
      </c>
      <c r="AV12" s="5">
        <v>0</v>
      </c>
      <c r="AW12" s="4">
        <v>0</v>
      </c>
      <c r="AX12" s="4">
        <v>1</v>
      </c>
      <c r="AY12" s="4">
        <v>1</v>
      </c>
      <c r="AZ12" s="4">
        <v>0</v>
      </c>
      <c r="BA12" s="4">
        <v>1</v>
      </c>
      <c r="BB12" s="43">
        <v>1</v>
      </c>
      <c r="BC12" s="42">
        <v>0</v>
      </c>
      <c r="BD12" s="44">
        <v>0</v>
      </c>
      <c r="BE12" s="44">
        <v>0</v>
      </c>
      <c r="BF12" s="44">
        <v>0</v>
      </c>
      <c r="BG12" s="45">
        <v>0</v>
      </c>
      <c r="BH12" s="44">
        <v>0</v>
      </c>
      <c r="BI12" s="44">
        <v>0</v>
      </c>
      <c r="BJ12" s="43">
        <v>0</v>
      </c>
      <c r="BK12" s="46">
        <v>1</v>
      </c>
      <c r="BL12" s="47">
        <v>1</v>
      </c>
      <c r="BM12" s="47">
        <v>1</v>
      </c>
      <c r="BN12" s="47">
        <v>1</v>
      </c>
      <c r="BO12" s="47">
        <v>1</v>
      </c>
      <c r="BP12" s="47">
        <v>1</v>
      </c>
      <c r="BQ12" s="48">
        <v>1</v>
      </c>
      <c r="BR12" s="49">
        <v>1</v>
      </c>
      <c r="BS12" s="50"/>
      <c r="BT12" s="51" t="str">
        <f t="shared" si="5"/>
        <v>0x21</v>
      </c>
      <c r="BU12" s="51" t="str">
        <f t="shared" si="6"/>
        <v>0x0</v>
      </c>
      <c r="BV12" s="52" t="str">
        <f t="shared" si="7"/>
        <v>0x0</v>
      </c>
      <c r="BW12" s="44">
        <v>0</v>
      </c>
      <c r="BX12" s="40">
        <v>0</v>
      </c>
      <c r="BY12" s="40">
        <v>1</v>
      </c>
      <c r="BZ12" s="40">
        <v>0</v>
      </c>
      <c r="CA12" s="53">
        <v>0</v>
      </c>
      <c r="CB12" s="53">
        <v>0</v>
      </c>
      <c r="CC12" s="53">
        <v>0</v>
      </c>
      <c r="CD12" s="54">
        <v>1</v>
      </c>
      <c r="CE12" s="55">
        <v>0</v>
      </c>
      <c r="CF12" s="56">
        <v>0</v>
      </c>
      <c r="CG12" s="56">
        <v>0</v>
      </c>
      <c r="CH12" s="40">
        <v>0</v>
      </c>
      <c r="CI12" s="40">
        <v>0</v>
      </c>
      <c r="CJ12" s="40">
        <v>0</v>
      </c>
      <c r="CK12" s="40">
        <v>0</v>
      </c>
      <c r="CL12" s="57">
        <v>0</v>
      </c>
      <c r="CM12" s="42">
        <v>0</v>
      </c>
      <c r="CN12" s="44">
        <v>0</v>
      </c>
      <c r="CO12" s="44">
        <v>0</v>
      </c>
      <c r="CP12" s="44">
        <v>0</v>
      </c>
      <c r="CQ12" s="44">
        <v>0</v>
      </c>
      <c r="CR12" s="44">
        <v>0</v>
      </c>
      <c r="CS12" s="44">
        <v>0</v>
      </c>
      <c r="CT12" s="43">
        <v>0</v>
      </c>
      <c r="CU12" s="8"/>
      <c r="CV12" s="132" t="s">
        <v>94</v>
      </c>
      <c r="CW12" s="132" t="s">
        <v>94</v>
      </c>
      <c r="CX12" s="133" t="s">
        <v>94</v>
      </c>
      <c r="CY12" s="133" t="s">
        <v>94</v>
      </c>
    </row>
    <row r="13" spans="1:105" ht="15" x14ac:dyDescent="0.2">
      <c r="A13" s="240">
        <v>7</v>
      </c>
      <c r="B13" s="290" t="s">
        <v>219</v>
      </c>
      <c r="C13" s="148" t="s">
        <v>257</v>
      </c>
      <c r="D13" s="148" t="s">
        <v>207</v>
      </c>
      <c r="E13" s="135" t="s">
        <v>212</v>
      </c>
      <c r="F13" s="135" t="s">
        <v>263</v>
      </c>
      <c r="G13" s="148" t="s">
        <v>176</v>
      </c>
      <c r="H13" s="148"/>
      <c r="I13" s="148"/>
      <c r="J13" s="148"/>
      <c r="K13" s="148" t="s">
        <v>209</v>
      </c>
      <c r="L13" s="148"/>
      <c r="M13" s="148" t="s">
        <v>266</v>
      </c>
      <c r="N13" s="148"/>
      <c r="O13" s="135" t="s">
        <v>213</v>
      </c>
      <c r="P13" s="135" t="s">
        <v>204</v>
      </c>
      <c r="Q13" s="36" t="str">
        <f t="shared" si="0"/>
        <v>0x11</v>
      </c>
      <c r="R13" s="37" t="str">
        <f t="shared" si="1"/>
        <v>0x6B</v>
      </c>
      <c r="S13" s="37" t="str">
        <f t="shared" si="8"/>
        <v>0x76</v>
      </c>
      <c r="T13" s="37" t="str">
        <f t="shared" si="2"/>
        <v>0x07</v>
      </c>
      <c r="U13" s="37" t="str">
        <f t="shared" si="3"/>
        <v>0x00</v>
      </c>
      <c r="V13" s="38" t="str">
        <f t="shared" si="4"/>
        <v>0xFF</v>
      </c>
      <c r="W13" s="40">
        <v>0</v>
      </c>
      <c r="X13" s="39">
        <v>0</v>
      </c>
      <c r="Y13" s="39">
        <v>0</v>
      </c>
      <c r="Z13" s="39">
        <v>1</v>
      </c>
      <c r="AA13" s="39">
        <v>0</v>
      </c>
      <c r="AB13" s="5">
        <v>0</v>
      </c>
      <c r="AC13" s="5">
        <v>0</v>
      </c>
      <c r="AD13" s="41">
        <v>1</v>
      </c>
      <c r="AE13" s="6">
        <v>0</v>
      </c>
      <c r="AF13" s="5">
        <v>1</v>
      </c>
      <c r="AG13" s="40">
        <v>1</v>
      </c>
      <c r="AH13" s="40">
        <v>0</v>
      </c>
      <c r="AI13" s="39">
        <v>1</v>
      </c>
      <c r="AJ13" s="39">
        <v>0</v>
      </c>
      <c r="AK13" s="39">
        <v>1</v>
      </c>
      <c r="AL13" s="41">
        <v>1</v>
      </c>
      <c r="AM13" s="42">
        <v>0</v>
      </c>
      <c r="AN13" s="4">
        <v>1</v>
      </c>
      <c r="AO13" s="7">
        <v>1</v>
      </c>
      <c r="AP13" s="295">
        <v>1</v>
      </c>
      <c r="AQ13" s="5">
        <v>0</v>
      </c>
      <c r="AR13" s="5">
        <v>1</v>
      </c>
      <c r="AS13" s="5">
        <v>1</v>
      </c>
      <c r="AT13" s="41">
        <v>0</v>
      </c>
      <c r="AU13" s="6">
        <v>0</v>
      </c>
      <c r="AV13" s="5">
        <v>0</v>
      </c>
      <c r="AW13" s="4">
        <v>0</v>
      </c>
      <c r="AX13" s="4">
        <v>0</v>
      </c>
      <c r="AY13" s="4">
        <v>0</v>
      </c>
      <c r="AZ13" s="4">
        <v>1</v>
      </c>
      <c r="BA13" s="4">
        <v>1</v>
      </c>
      <c r="BB13" s="43">
        <v>1</v>
      </c>
      <c r="BC13" s="42">
        <v>0</v>
      </c>
      <c r="BD13" s="44">
        <v>0</v>
      </c>
      <c r="BE13" s="44">
        <v>0</v>
      </c>
      <c r="BF13" s="44">
        <v>0</v>
      </c>
      <c r="BG13" s="45">
        <v>0</v>
      </c>
      <c r="BH13" s="44">
        <v>0</v>
      </c>
      <c r="BI13" s="44">
        <v>0</v>
      </c>
      <c r="BJ13" s="43">
        <v>0</v>
      </c>
      <c r="BK13" s="46">
        <v>1</v>
      </c>
      <c r="BL13" s="47">
        <v>1</v>
      </c>
      <c r="BM13" s="47">
        <v>1</v>
      </c>
      <c r="BN13" s="47">
        <v>1</v>
      </c>
      <c r="BO13" s="47">
        <v>1</v>
      </c>
      <c r="BP13" s="47">
        <v>1</v>
      </c>
      <c r="BQ13" s="48">
        <v>1</v>
      </c>
      <c r="BR13" s="49">
        <v>1</v>
      </c>
      <c r="BS13" s="50"/>
      <c r="BT13" s="51" t="str">
        <f t="shared" si="5"/>
        <v>0x21</v>
      </c>
      <c r="BU13" s="51" t="str">
        <f t="shared" si="6"/>
        <v>0x0</v>
      </c>
      <c r="BV13" s="52" t="str">
        <f t="shared" si="7"/>
        <v>0x0</v>
      </c>
      <c r="BW13" s="44">
        <v>0</v>
      </c>
      <c r="BX13" s="40">
        <v>0</v>
      </c>
      <c r="BY13" s="40">
        <v>1</v>
      </c>
      <c r="BZ13" s="40">
        <v>0</v>
      </c>
      <c r="CA13" s="53">
        <v>0</v>
      </c>
      <c r="CB13" s="53">
        <v>0</v>
      </c>
      <c r="CC13" s="53">
        <v>0</v>
      </c>
      <c r="CD13" s="54">
        <v>1</v>
      </c>
      <c r="CE13" s="55">
        <v>0</v>
      </c>
      <c r="CF13" s="56">
        <v>0</v>
      </c>
      <c r="CG13" s="56">
        <v>0</v>
      </c>
      <c r="CH13" s="40">
        <v>0</v>
      </c>
      <c r="CI13" s="40">
        <v>0</v>
      </c>
      <c r="CJ13" s="40">
        <v>0</v>
      </c>
      <c r="CK13" s="40">
        <v>0</v>
      </c>
      <c r="CL13" s="57">
        <v>0</v>
      </c>
      <c r="CM13" s="42">
        <v>0</v>
      </c>
      <c r="CN13" s="44">
        <v>0</v>
      </c>
      <c r="CO13" s="44">
        <v>0</v>
      </c>
      <c r="CP13" s="44">
        <v>0</v>
      </c>
      <c r="CQ13" s="44">
        <v>0</v>
      </c>
      <c r="CR13" s="44">
        <v>0</v>
      </c>
      <c r="CS13" s="44">
        <v>0</v>
      </c>
      <c r="CT13" s="43">
        <v>0</v>
      </c>
      <c r="CU13" s="8"/>
      <c r="CV13" s="132" t="s">
        <v>94</v>
      </c>
      <c r="CW13" s="132"/>
      <c r="CX13" s="133" t="s">
        <v>94</v>
      </c>
      <c r="CY13" s="133"/>
    </row>
    <row r="14" spans="1:105" ht="15" x14ac:dyDescent="0.2">
      <c r="A14" s="240">
        <v>8</v>
      </c>
      <c r="B14" s="290" t="s">
        <v>691</v>
      </c>
      <c r="C14" s="148" t="s">
        <v>257</v>
      </c>
      <c r="D14" s="148" t="s">
        <v>207</v>
      </c>
      <c r="E14" s="135" t="s">
        <v>212</v>
      </c>
      <c r="F14" s="135" t="s">
        <v>263</v>
      </c>
      <c r="G14" s="148" t="s">
        <v>176</v>
      </c>
      <c r="H14" s="148"/>
      <c r="I14" s="148"/>
      <c r="J14" s="148"/>
      <c r="K14" s="148" t="s">
        <v>209</v>
      </c>
      <c r="L14" s="148"/>
      <c r="M14" s="148" t="s">
        <v>266</v>
      </c>
      <c r="N14" s="148"/>
      <c r="O14" s="135" t="s">
        <v>213</v>
      </c>
      <c r="P14" s="135" t="s">
        <v>204</v>
      </c>
      <c r="Q14" s="36" t="str">
        <f t="shared" ref="Q14" si="18">CONCATENATE("0x",DEC2HEX(AD14*1+AC14*2+AB14*4+AA14*8+Z14*16+Y14*32+X14*64+W14*128,2))</f>
        <v>0x11</v>
      </c>
      <c r="R14" s="37" t="str">
        <f t="shared" ref="R14" si="19">CONCATENATE("0x",DEC2HEX(AL14*1+AK14*2+AJ14*4+AI14*8+AH14*16+AG14*32+AF14*64+AE14*128,2))</f>
        <v>0x6B</v>
      </c>
      <c r="S14" s="37" t="str">
        <f t="shared" ref="S14" si="20">CONCATENATE("0x",DEC2HEX(AT14*1+AS14*2+AR14*4+AQ14*8+AP14*16+AO14*32+AN14*64+AM14*128,2))</f>
        <v>0x76</v>
      </c>
      <c r="T14" s="37" t="str">
        <f t="shared" ref="T14" si="21">CONCATENATE("0x",DEC2HEX(BB14*1+BA14*2+AZ14*4+AY14*8+AX14*16+AW14*32+AV14*64+AU14*128,2))</f>
        <v>0x07</v>
      </c>
      <c r="U14" s="37" t="str">
        <f t="shared" ref="U14" si="22">CONCATENATE("0x",DEC2HEX(BJ14*1+BI14*2+BH14*4+BG14*8+BF14*16+BE14*32+BD14*64+BC14*128,2))</f>
        <v>0x00</v>
      </c>
      <c r="V14" s="38" t="str">
        <f t="shared" ref="V14" si="23">CONCATENATE("0x",DEC2HEX(BR14*1+BQ14*2+BP14*4+BO14*8+BN14*16+BM14*32+BL14*64+BK14*128,2))</f>
        <v>0xFF</v>
      </c>
      <c r="W14" s="40">
        <v>0</v>
      </c>
      <c r="X14" s="39">
        <v>0</v>
      </c>
      <c r="Y14" s="39">
        <v>0</v>
      </c>
      <c r="Z14" s="39">
        <v>1</v>
      </c>
      <c r="AA14" s="39">
        <v>0</v>
      </c>
      <c r="AB14" s="5">
        <v>0</v>
      </c>
      <c r="AC14" s="5">
        <v>0</v>
      </c>
      <c r="AD14" s="41">
        <v>1</v>
      </c>
      <c r="AE14" s="6">
        <v>0</v>
      </c>
      <c r="AF14" s="5">
        <v>1</v>
      </c>
      <c r="AG14" s="40">
        <v>1</v>
      </c>
      <c r="AH14" s="40">
        <v>0</v>
      </c>
      <c r="AI14" s="39">
        <v>1</v>
      </c>
      <c r="AJ14" s="39">
        <v>0</v>
      </c>
      <c r="AK14" s="39">
        <v>1</v>
      </c>
      <c r="AL14" s="41">
        <v>1</v>
      </c>
      <c r="AM14" s="42">
        <v>0</v>
      </c>
      <c r="AN14" s="4">
        <v>1</v>
      </c>
      <c r="AO14" s="7">
        <v>1</v>
      </c>
      <c r="AP14" s="295">
        <v>1</v>
      </c>
      <c r="AQ14" s="5">
        <v>0</v>
      </c>
      <c r="AR14" s="5">
        <v>1</v>
      </c>
      <c r="AS14" s="5">
        <v>1</v>
      </c>
      <c r="AT14" s="41">
        <v>0</v>
      </c>
      <c r="AU14" s="6">
        <v>0</v>
      </c>
      <c r="AV14" s="5">
        <v>0</v>
      </c>
      <c r="AW14" s="4">
        <v>0</v>
      </c>
      <c r="AX14" s="4">
        <v>0</v>
      </c>
      <c r="AY14" s="4">
        <v>0</v>
      </c>
      <c r="AZ14" s="4">
        <v>1</v>
      </c>
      <c r="BA14" s="4">
        <v>1</v>
      </c>
      <c r="BB14" s="43">
        <v>1</v>
      </c>
      <c r="BC14" s="42">
        <v>0</v>
      </c>
      <c r="BD14" s="44">
        <v>0</v>
      </c>
      <c r="BE14" s="44">
        <v>0</v>
      </c>
      <c r="BF14" s="44">
        <v>0</v>
      </c>
      <c r="BG14" s="45">
        <v>0</v>
      </c>
      <c r="BH14" s="44">
        <v>0</v>
      </c>
      <c r="BI14" s="44">
        <v>0</v>
      </c>
      <c r="BJ14" s="43">
        <v>0</v>
      </c>
      <c r="BK14" s="46">
        <v>1</v>
      </c>
      <c r="BL14" s="47">
        <v>1</v>
      </c>
      <c r="BM14" s="47">
        <v>1</v>
      </c>
      <c r="BN14" s="47">
        <v>1</v>
      </c>
      <c r="BO14" s="47">
        <v>1</v>
      </c>
      <c r="BP14" s="47">
        <v>1</v>
      </c>
      <c r="BQ14" s="48">
        <v>1</v>
      </c>
      <c r="BR14" s="49">
        <v>1</v>
      </c>
      <c r="BS14" s="50"/>
      <c r="BT14" s="51" t="str">
        <f t="shared" ref="BT14" si="24">CONCATENATE("0x",DEC2HEX(CD14*1+CC14*2+CB14*4+CA14*8+BZ14*16+BY14*32+BX14*64+BW14*128))</f>
        <v>0x21</v>
      </c>
      <c r="BU14" s="51" t="str">
        <f t="shared" ref="BU14" si="25">CONCATENATE("0x",DEC2HEX(CL14*1+CK14*2+CJ14*4+CI14*8+CH14*16+CG14*32+CF14*64+CE14*128))</f>
        <v>0x0</v>
      </c>
      <c r="BV14" s="52" t="str">
        <f t="shared" ref="BV14" si="26">CONCATENATE("0x",DEC2HEX(CT14*1+CS14*2+CR14*4+CQ14*8+CP14*16+CO14*32+CN14*64+CM14*128))</f>
        <v>0x0</v>
      </c>
      <c r="BW14" s="44">
        <v>0</v>
      </c>
      <c r="BX14" s="40">
        <v>0</v>
      </c>
      <c r="BY14" s="40">
        <v>1</v>
      </c>
      <c r="BZ14" s="40">
        <v>0</v>
      </c>
      <c r="CA14" s="53">
        <v>0</v>
      </c>
      <c r="CB14" s="53">
        <v>0</v>
      </c>
      <c r="CC14" s="53">
        <v>0</v>
      </c>
      <c r="CD14" s="54">
        <v>1</v>
      </c>
      <c r="CE14" s="55">
        <v>0</v>
      </c>
      <c r="CF14" s="56">
        <v>0</v>
      </c>
      <c r="CG14" s="56">
        <v>0</v>
      </c>
      <c r="CH14" s="40">
        <v>0</v>
      </c>
      <c r="CI14" s="40">
        <v>0</v>
      </c>
      <c r="CJ14" s="40">
        <v>0</v>
      </c>
      <c r="CK14" s="40">
        <v>0</v>
      </c>
      <c r="CL14" s="57">
        <v>0</v>
      </c>
      <c r="CM14" s="42">
        <v>0</v>
      </c>
      <c r="CN14" s="44">
        <v>0</v>
      </c>
      <c r="CO14" s="44">
        <v>0</v>
      </c>
      <c r="CP14" s="44">
        <v>0</v>
      </c>
      <c r="CQ14" s="44">
        <v>0</v>
      </c>
      <c r="CR14" s="44">
        <v>0</v>
      </c>
      <c r="CS14" s="44">
        <v>0</v>
      </c>
      <c r="CT14" s="43">
        <v>0</v>
      </c>
      <c r="CU14" s="8"/>
      <c r="CV14" s="132" t="s">
        <v>94</v>
      </c>
      <c r="CW14" s="132"/>
      <c r="CX14" s="133" t="s">
        <v>94</v>
      </c>
      <c r="CY14" s="133"/>
    </row>
    <row r="15" spans="1:105" ht="15" x14ac:dyDescent="0.2">
      <c r="A15" s="240">
        <v>9</v>
      </c>
      <c r="B15" s="290" t="s">
        <v>220</v>
      </c>
      <c r="C15" s="148" t="s">
        <v>257</v>
      </c>
      <c r="D15" s="148" t="s">
        <v>207</v>
      </c>
      <c r="E15" s="135" t="s">
        <v>208</v>
      </c>
      <c r="F15" s="135" t="s">
        <v>263</v>
      </c>
      <c r="G15" s="148" t="s">
        <v>176</v>
      </c>
      <c r="H15" s="148"/>
      <c r="I15" s="148"/>
      <c r="J15" s="148"/>
      <c r="K15" s="148" t="s">
        <v>209</v>
      </c>
      <c r="L15" s="148" t="s">
        <v>94</v>
      </c>
      <c r="M15" s="148" t="s">
        <v>266</v>
      </c>
      <c r="N15" s="148" t="s">
        <v>94</v>
      </c>
      <c r="O15" s="135" t="s">
        <v>213</v>
      </c>
      <c r="P15" s="135" t="s">
        <v>203</v>
      </c>
      <c r="Q15" s="36" t="str">
        <f t="shared" si="0"/>
        <v>0x51</v>
      </c>
      <c r="R15" s="37" t="str">
        <f t="shared" si="1"/>
        <v>0x7B</v>
      </c>
      <c r="S15" s="37" t="str">
        <f t="shared" si="8"/>
        <v>0x77</v>
      </c>
      <c r="T15" s="37" t="str">
        <f t="shared" si="2"/>
        <v>0x0B</v>
      </c>
      <c r="U15" s="37" t="str">
        <f t="shared" si="3"/>
        <v>0x00</v>
      </c>
      <c r="V15" s="38" t="str">
        <f t="shared" si="4"/>
        <v>0xFF</v>
      </c>
      <c r="W15" s="40">
        <v>0</v>
      </c>
      <c r="X15" s="39">
        <v>1</v>
      </c>
      <c r="Y15" s="39">
        <v>0</v>
      </c>
      <c r="Z15" s="39">
        <v>1</v>
      </c>
      <c r="AA15" s="39">
        <v>0</v>
      </c>
      <c r="AB15" s="5">
        <v>0</v>
      </c>
      <c r="AC15" s="5">
        <v>0</v>
      </c>
      <c r="AD15" s="41">
        <v>1</v>
      </c>
      <c r="AE15" s="6">
        <v>0</v>
      </c>
      <c r="AF15" s="5">
        <v>1</v>
      </c>
      <c r="AG15" s="40">
        <v>1</v>
      </c>
      <c r="AH15" s="40">
        <v>1</v>
      </c>
      <c r="AI15" s="39">
        <v>1</v>
      </c>
      <c r="AJ15" s="39">
        <v>0</v>
      </c>
      <c r="AK15" s="39">
        <v>1</v>
      </c>
      <c r="AL15" s="41">
        <v>1</v>
      </c>
      <c r="AM15" s="42">
        <v>0</v>
      </c>
      <c r="AN15" s="4">
        <v>1</v>
      </c>
      <c r="AO15" s="7">
        <v>1</v>
      </c>
      <c r="AP15" s="295">
        <v>1</v>
      </c>
      <c r="AQ15" s="5">
        <v>0</v>
      </c>
      <c r="AR15" s="5">
        <v>1</v>
      </c>
      <c r="AS15" s="5">
        <v>1</v>
      </c>
      <c r="AT15" s="41">
        <v>1</v>
      </c>
      <c r="AU15" s="6">
        <v>0</v>
      </c>
      <c r="AV15" s="5">
        <v>0</v>
      </c>
      <c r="AW15" s="4">
        <v>0</v>
      </c>
      <c r="AX15" s="4">
        <v>0</v>
      </c>
      <c r="AY15" s="4">
        <v>1</v>
      </c>
      <c r="AZ15" s="4">
        <v>0</v>
      </c>
      <c r="BA15" s="4">
        <v>1</v>
      </c>
      <c r="BB15" s="43">
        <v>1</v>
      </c>
      <c r="BC15" s="42">
        <v>0</v>
      </c>
      <c r="BD15" s="44">
        <v>0</v>
      </c>
      <c r="BE15" s="44">
        <v>0</v>
      </c>
      <c r="BF15" s="44">
        <v>0</v>
      </c>
      <c r="BG15" s="45">
        <v>0</v>
      </c>
      <c r="BH15" s="44">
        <v>0</v>
      </c>
      <c r="BI15" s="44">
        <v>0</v>
      </c>
      <c r="BJ15" s="43">
        <v>0</v>
      </c>
      <c r="BK15" s="46">
        <v>1</v>
      </c>
      <c r="BL15" s="47">
        <v>1</v>
      </c>
      <c r="BM15" s="47">
        <v>1</v>
      </c>
      <c r="BN15" s="47">
        <v>1</v>
      </c>
      <c r="BO15" s="47">
        <v>1</v>
      </c>
      <c r="BP15" s="47">
        <v>1</v>
      </c>
      <c r="BQ15" s="48">
        <v>1</v>
      </c>
      <c r="BR15" s="49">
        <v>1</v>
      </c>
      <c r="BS15" s="50"/>
      <c r="BT15" s="51" t="str">
        <f t="shared" si="5"/>
        <v>0x21</v>
      </c>
      <c r="BU15" s="51" t="str">
        <f t="shared" si="6"/>
        <v>0x0</v>
      </c>
      <c r="BV15" s="52" t="str">
        <f t="shared" si="7"/>
        <v>0x0</v>
      </c>
      <c r="BW15" s="44">
        <v>0</v>
      </c>
      <c r="BX15" s="40">
        <v>0</v>
      </c>
      <c r="BY15" s="40">
        <v>1</v>
      </c>
      <c r="BZ15" s="40">
        <v>0</v>
      </c>
      <c r="CA15" s="53">
        <v>0</v>
      </c>
      <c r="CB15" s="53">
        <v>0</v>
      </c>
      <c r="CC15" s="53">
        <v>0</v>
      </c>
      <c r="CD15" s="54">
        <v>1</v>
      </c>
      <c r="CE15" s="55">
        <v>0</v>
      </c>
      <c r="CF15" s="56">
        <v>0</v>
      </c>
      <c r="CG15" s="56">
        <v>0</v>
      </c>
      <c r="CH15" s="40">
        <v>0</v>
      </c>
      <c r="CI15" s="40">
        <v>0</v>
      </c>
      <c r="CJ15" s="40">
        <v>0</v>
      </c>
      <c r="CK15" s="40">
        <v>0</v>
      </c>
      <c r="CL15" s="57">
        <v>0</v>
      </c>
      <c r="CM15" s="42">
        <v>0</v>
      </c>
      <c r="CN15" s="44">
        <v>0</v>
      </c>
      <c r="CO15" s="44">
        <v>0</v>
      </c>
      <c r="CP15" s="44">
        <v>0</v>
      </c>
      <c r="CQ15" s="44">
        <v>0</v>
      </c>
      <c r="CR15" s="44">
        <v>0</v>
      </c>
      <c r="CS15" s="44">
        <v>0</v>
      </c>
      <c r="CT15" s="43">
        <v>0</v>
      </c>
      <c r="CU15" s="8"/>
      <c r="CV15" s="132" t="s">
        <v>94</v>
      </c>
      <c r="CW15" s="132" t="s">
        <v>94</v>
      </c>
      <c r="CX15" s="133" t="s">
        <v>94</v>
      </c>
      <c r="CY15" s="133" t="s">
        <v>94</v>
      </c>
    </row>
    <row r="16" spans="1:105" ht="15" x14ac:dyDescent="0.2">
      <c r="A16" s="240">
        <v>10</v>
      </c>
      <c r="B16" s="290" t="s">
        <v>221</v>
      </c>
      <c r="C16" s="148" t="s">
        <v>257</v>
      </c>
      <c r="D16" s="148" t="s">
        <v>216</v>
      </c>
      <c r="E16" s="135" t="s">
        <v>212</v>
      </c>
      <c r="F16" s="135" t="s">
        <v>45</v>
      </c>
      <c r="G16" s="148" t="s">
        <v>177</v>
      </c>
      <c r="H16" s="148" t="s">
        <v>94</v>
      </c>
      <c r="I16" s="148"/>
      <c r="J16" s="148"/>
      <c r="K16" s="148" t="s">
        <v>217</v>
      </c>
      <c r="L16" s="148"/>
      <c r="M16" s="148" t="s">
        <v>266</v>
      </c>
      <c r="N16" s="148"/>
      <c r="O16" s="135" t="s">
        <v>213</v>
      </c>
      <c r="P16" s="135" t="s">
        <v>204</v>
      </c>
      <c r="Q16" s="36" t="str">
        <f t="shared" si="0"/>
        <v>0x09</v>
      </c>
      <c r="R16" s="37" t="str">
        <f t="shared" si="1"/>
        <v>0x6B</v>
      </c>
      <c r="S16" s="37" t="str">
        <f t="shared" si="8"/>
        <v>0x76</v>
      </c>
      <c r="T16" s="37" t="str">
        <f t="shared" si="2"/>
        <v>0x06</v>
      </c>
      <c r="U16" s="37" t="str">
        <f t="shared" si="3"/>
        <v>0x00</v>
      </c>
      <c r="V16" s="38" t="str">
        <f t="shared" si="4"/>
        <v>0xFF</v>
      </c>
      <c r="W16" s="40">
        <v>0</v>
      </c>
      <c r="X16" s="39">
        <v>0</v>
      </c>
      <c r="Y16" s="39">
        <v>0</v>
      </c>
      <c r="Z16" s="39">
        <v>0</v>
      </c>
      <c r="AA16" s="39">
        <v>1</v>
      </c>
      <c r="AB16" s="5">
        <v>0</v>
      </c>
      <c r="AC16" s="5">
        <v>0</v>
      </c>
      <c r="AD16" s="41">
        <v>1</v>
      </c>
      <c r="AE16" s="6">
        <v>0</v>
      </c>
      <c r="AF16" s="5">
        <v>1</v>
      </c>
      <c r="AG16" s="40">
        <v>1</v>
      </c>
      <c r="AH16" s="40">
        <v>0</v>
      </c>
      <c r="AI16" s="39">
        <v>1</v>
      </c>
      <c r="AJ16" s="39">
        <v>0</v>
      </c>
      <c r="AK16" s="39">
        <v>1</v>
      </c>
      <c r="AL16" s="41">
        <v>1</v>
      </c>
      <c r="AM16" s="42">
        <v>0</v>
      </c>
      <c r="AN16" s="4">
        <v>1</v>
      </c>
      <c r="AO16" s="7">
        <v>1</v>
      </c>
      <c r="AP16" s="295">
        <v>1</v>
      </c>
      <c r="AQ16" s="5">
        <v>0</v>
      </c>
      <c r="AR16" s="5">
        <v>1</v>
      </c>
      <c r="AS16" s="5">
        <v>1</v>
      </c>
      <c r="AT16" s="41">
        <v>0</v>
      </c>
      <c r="AU16" s="6">
        <v>0</v>
      </c>
      <c r="AV16" s="5">
        <v>0</v>
      </c>
      <c r="AW16" s="4">
        <v>0</v>
      </c>
      <c r="AX16" s="4">
        <v>0</v>
      </c>
      <c r="AY16" s="4">
        <v>0</v>
      </c>
      <c r="AZ16" s="4">
        <v>1</v>
      </c>
      <c r="BA16" s="4">
        <v>1</v>
      </c>
      <c r="BB16" s="43">
        <v>0</v>
      </c>
      <c r="BC16" s="42">
        <v>0</v>
      </c>
      <c r="BD16" s="44">
        <v>0</v>
      </c>
      <c r="BE16" s="44">
        <v>0</v>
      </c>
      <c r="BF16" s="44">
        <v>0</v>
      </c>
      <c r="BG16" s="45">
        <v>0</v>
      </c>
      <c r="BH16" s="44">
        <v>0</v>
      </c>
      <c r="BI16" s="44">
        <v>0</v>
      </c>
      <c r="BJ16" s="43">
        <v>0</v>
      </c>
      <c r="BK16" s="46">
        <v>1</v>
      </c>
      <c r="BL16" s="47">
        <v>1</v>
      </c>
      <c r="BM16" s="47">
        <v>1</v>
      </c>
      <c r="BN16" s="47">
        <v>1</v>
      </c>
      <c r="BO16" s="47">
        <v>1</v>
      </c>
      <c r="BP16" s="47">
        <v>1</v>
      </c>
      <c r="BQ16" s="48">
        <v>1</v>
      </c>
      <c r="BR16" s="49">
        <v>1</v>
      </c>
      <c r="BS16" s="50"/>
      <c r="BT16" s="51" t="str">
        <f t="shared" si="5"/>
        <v>0x21</v>
      </c>
      <c r="BU16" s="51" t="str">
        <f t="shared" si="6"/>
        <v>0x0</v>
      </c>
      <c r="BV16" s="52" t="str">
        <f t="shared" si="7"/>
        <v>0x0</v>
      </c>
      <c r="BW16" s="44">
        <v>0</v>
      </c>
      <c r="BX16" s="40">
        <v>0</v>
      </c>
      <c r="BY16" s="40">
        <v>1</v>
      </c>
      <c r="BZ16" s="40">
        <v>0</v>
      </c>
      <c r="CA16" s="53">
        <v>0</v>
      </c>
      <c r="CB16" s="53">
        <v>0</v>
      </c>
      <c r="CC16" s="53">
        <v>0</v>
      </c>
      <c r="CD16" s="54">
        <v>1</v>
      </c>
      <c r="CE16" s="55">
        <v>0</v>
      </c>
      <c r="CF16" s="56">
        <v>0</v>
      </c>
      <c r="CG16" s="56">
        <v>0</v>
      </c>
      <c r="CH16" s="40">
        <v>0</v>
      </c>
      <c r="CI16" s="40">
        <v>0</v>
      </c>
      <c r="CJ16" s="40">
        <v>0</v>
      </c>
      <c r="CK16" s="40">
        <v>0</v>
      </c>
      <c r="CL16" s="57">
        <v>0</v>
      </c>
      <c r="CM16" s="42">
        <v>0</v>
      </c>
      <c r="CN16" s="44">
        <v>0</v>
      </c>
      <c r="CO16" s="44">
        <v>0</v>
      </c>
      <c r="CP16" s="44">
        <v>0</v>
      </c>
      <c r="CQ16" s="44">
        <v>0</v>
      </c>
      <c r="CR16" s="44">
        <v>0</v>
      </c>
      <c r="CS16" s="44">
        <v>0</v>
      </c>
      <c r="CT16" s="43">
        <v>0</v>
      </c>
      <c r="CU16" s="8"/>
      <c r="CV16" s="132" t="s">
        <v>94</v>
      </c>
      <c r="CW16" s="132"/>
      <c r="CX16" s="133" t="s">
        <v>94</v>
      </c>
      <c r="CY16" s="133"/>
    </row>
    <row r="17" spans="1:103" ht="15" x14ac:dyDescent="0.2">
      <c r="A17" s="240">
        <v>11</v>
      </c>
      <c r="B17" s="290" t="s">
        <v>222</v>
      </c>
      <c r="C17" s="148" t="s">
        <v>257</v>
      </c>
      <c r="D17" s="148" t="s">
        <v>216</v>
      </c>
      <c r="E17" s="135" t="s">
        <v>212</v>
      </c>
      <c r="F17" s="135" t="s">
        <v>45</v>
      </c>
      <c r="G17" s="148" t="s">
        <v>177</v>
      </c>
      <c r="H17" s="148" t="s">
        <v>94</v>
      </c>
      <c r="I17" s="148"/>
      <c r="J17" s="148"/>
      <c r="K17" s="148"/>
      <c r="L17" s="148"/>
      <c r="M17" s="148" t="s">
        <v>266</v>
      </c>
      <c r="N17" s="148"/>
      <c r="O17" s="135" t="s">
        <v>213</v>
      </c>
      <c r="P17" s="135" t="s">
        <v>204</v>
      </c>
      <c r="Q17" s="36" t="str">
        <f t="shared" si="0"/>
        <v>0x0B</v>
      </c>
      <c r="R17" s="37" t="str">
        <f t="shared" si="1"/>
        <v>0x7B</v>
      </c>
      <c r="S17" s="37" t="str">
        <f t="shared" si="8"/>
        <v>0x76</v>
      </c>
      <c r="T17" s="37" t="str">
        <f t="shared" si="2"/>
        <v>0x0A</v>
      </c>
      <c r="U17" s="37" t="str">
        <f t="shared" si="3"/>
        <v>0x00</v>
      </c>
      <c r="V17" s="38" t="str">
        <f t="shared" si="4"/>
        <v>0xFF</v>
      </c>
      <c r="W17" s="40">
        <v>0</v>
      </c>
      <c r="X17" s="39">
        <v>0</v>
      </c>
      <c r="Y17" s="39">
        <v>0</v>
      </c>
      <c r="Z17" s="39">
        <v>0</v>
      </c>
      <c r="AA17" s="39">
        <v>1</v>
      </c>
      <c r="AB17" s="5">
        <v>0</v>
      </c>
      <c r="AC17" s="5">
        <v>1</v>
      </c>
      <c r="AD17" s="41">
        <v>1</v>
      </c>
      <c r="AE17" s="6">
        <v>0</v>
      </c>
      <c r="AF17" s="5">
        <v>1</v>
      </c>
      <c r="AG17" s="40">
        <v>1</v>
      </c>
      <c r="AH17" s="40">
        <v>1</v>
      </c>
      <c r="AI17" s="39">
        <v>1</v>
      </c>
      <c r="AJ17" s="39">
        <v>0</v>
      </c>
      <c r="AK17" s="39">
        <v>1</v>
      </c>
      <c r="AL17" s="41">
        <v>1</v>
      </c>
      <c r="AM17" s="42">
        <v>0</v>
      </c>
      <c r="AN17" s="4">
        <v>1</v>
      </c>
      <c r="AO17" s="7">
        <v>1</v>
      </c>
      <c r="AP17" s="295">
        <v>1</v>
      </c>
      <c r="AQ17" s="5">
        <v>0</v>
      </c>
      <c r="AR17" s="5">
        <v>1</v>
      </c>
      <c r="AS17" s="5">
        <v>1</v>
      </c>
      <c r="AT17" s="41">
        <v>0</v>
      </c>
      <c r="AU17" s="6">
        <v>0</v>
      </c>
      <c r="AV17" s="5">
        <v>0</v>
      </c>
      <c r="AW17" s="4">
        <v>0</v>
      </c>
      <c r="AX17" s="4">
        <v>0</v>
      </c>
      <c r="AY17" s="4">
        <v>1</v>
      </c>
      <c r="AZ17" s="4">
        <v>0</v>
      </c>
      <c r="BA17" s="4">
        <v>1</v>
      </c>
      <c r="BB17" s="43">
        <v>0</v>
      </c>
      <c r="BC17" s="42">
        <v>0</v>
      </c>
      <c r="BD17" s="44">
        <v>0</v>
      </c>
      <c r="BE17" s="44">
        <v>0</v>
      </c>
      <c r="BF17" s="44">
        <v>0</v>
      </c>
      <c r="BG17" s="45">
        <v>0</v>
      </c>
      <c r="BH17" s="44">
        <v>0</v>
      </c>
      <c r="BI17" s="44">
        <v>0</v>
      </c>
      <c r="BJ17" s="43">
        <v>0</v>
      </c>
      <c r="BK17" s="46">
        <v>1</v>
      </c>
      <c r="BL17" s="47">
        <v>1</v>
      </c>
      <c r="BM17" s="47">
        <v>1</v>
      </c>
      <c r="BN17" s="47">
        <v>1</v>
      </c>
      <c r="BO17" s="47">
        <v>1</v>
      </c>
      <c r="BP17" s="47">
        <v>1</v>
      </c>
      <c r="BQ17" s="48">
        <v>1</v>
      </c>
      <c r="BR17" s="49">
        <v>1</v>
      </c>
      <c r="BS17" s="50"/>
      <c r="BT17" s="51" t="str">
        <f t="shared" si="5"/>
        <v>0x21</v>
      </c>
      <c r="BU17" s="51" t="str">
        <f t="shared" si="6"/>
        <v>0x0</v>
      </c>
      <c r="BV17" s="52" t="str">
        <f t="shared" si="7"/>
        <v>0x0</v>
      </c>
      <c r="BW17" s="44">
        <v>0</v>
      </c>
      <c r="BX17" s="40">
        <v>0</v>
      </c>
      <c r="BY17" s="40">
        <v>1</v>
      </c>
      <c r="BZ17" s="40">
        <v>0</v>
      </c>
      <c r="CA17" s="53">
        <v>0</v>
      </c>
      <c r="CB17" s="53">
        <v>0</v>
      </c>
      <c r="CC17" s="53">
        <v>0</v>
      </c>
      <c r="CD17" s="54">
        <v>1</v>
      </c>
      <c r="CE17" s="55">
        <v>0</v>
      </c>
      <c r="CF17" s="56">
        <v>0</v>
      </c>
      <c r="CG17" s="56">
        <v>0</v>
      </c>
      <c r="CH17" s="40">
        <v>0</v>
      </c>
      <c r="CI17" s="40">
        <v>0</v>
      </c>
      <c r="CJ17" s="40">
        <v>0</v>
      </c>
      <c r="CK17" s="40">
        <v>0</v>
      </c>
      <c r="CL17" s="57">
        <v>0</v>
      </c>
      <c r="CM17" s="42">
        <v>0</v>
      </c>
      <c r="CN17" s="44">
        <v>0</v>
      </c>
      <c r="CO17" s="44">
        <v>0</v>
      </c>
      <c r="CP17" s="44">
        <v>0</v>
      </c>
      <c r="CQ17" s="44">
        <v>0</v>
      </c>
      <c r="CR17" s="44">
        <v>0</v>
      </c>
      <c r="CS17" s="44">
        <v>0</v>
      </c>
      <c r="CT17" s="43">
        <v>0</v>
      </c>
      <c r="CU17" s="8"/>
      <c r="CV17" s="132" t="s">
        <v>94</v>
      </c>
      <c r="CW17" s="132"/>
      <c r="CX17" s="133" t="s">
        <v>94</v>
      </c>
      <c r="CY17" s="133"/>
    </row>
    <row r="18" spans="1:103" ht="15" x14ac:dyDescent="0.2">
      <c r="A18" s="240">
        <v>12</v>
      </c>
      <c r="B18" s="290" t="s">
        <v>223</v>
      </c>
      <c r="C18" s="148" t="s">
        <v>257</v>
      </c>
      <c r="D18" s="148" t="s">
        <v>216</v>
      </c>
      <c r="E18" s="135" t="s">
        <v>212</v>
      </c>
      <c r="F18" s="135" t="s">
        <v>45</v>
      </c>
      <c r="G18" s="148" t="s">
        <v>177</v>
      </c>
      <c r="H18" s="148" t="s">
        <v>94</v>
      </c>
      <c r="I18" s="148"/>
      <c r="J18" s="148"/>
      <c r="K18" s="148" t="s">
        <v>217</v>
      </c>
      <c r="L18" s="148"/>
      <c r="M18" s="148" t="s">
        <v>266</v>
      </c>
      <c r="N18" s="148"/>
      <c r="O18" s="135" t="s">
        <v>213</v>
      </c>
      <c r="P18" s="135" t="s">
        <v>204</v>
      </c>
      <c r="Q18" s="36" t="str">
        <f t="shared" si="0"/>
        <v>0x09</v>
      </c>
      <c r="R18" s="37" t="str">
        <f t="shared" si="1"/>
        <v>0x6B</v>
      </c>
      <c r="S18" s="37" t="str">
        <f t="shared" si="8"/>
        <v>0x76</v>
      </c>
      <c r="T18" s="37" t="str">
        <f t="shared" si="2"/>
        <v>0x06</v>
      </c>
      <c r="U18" s="37" t="str">
        <f t="shared" si="3"/>
        <v>0x00</v>
      </c>
      <c r="V18" s="38" t="str">
        <f t="shared" si="4"/>
        <v>0xFF</v>
      </c>
      <c r="W18" s="40">
        <v>0</v>
      </c>
      <c r="X18" s="39">
        <v>0</v>
      </c>
      <c r="Y18" s="39">
        <v>0</v>
      </c>
      <c r="Z18" s="39">
        <v>0</v>
      </c>
      <c r="AA18" s="39">
        <v>1</v>
      </c>
      <c r="AB18" s="5">
        <v>0</v>
      </c>
      <c r="AC18" s="5">
        <v>0</v>
      </c>
      <c r="AD18" s="41">
        <v>1</v>
      </c>
      <c r="AE18" s="6">
        <v>0</v>
      </c>
      <c r="AF18" s="5">
        <v>1</v>
      </c>
      <c r="AG18" s="40">
        <v>1</v>
      </c>
      <c r="AH18" s="40">
        <v>0</v>
      </c>
      <c r="AI18" s="39">
        <v>1</v>
      </c>
      <c r="AJ18" s="39">
        <v>0</v>
      </c>
      <c r="AK18" s="39">
        <v>1</v>
      </c>
      <c r="AL18" s="41">
        <v>1</v>
      </c>
      <c r="AM18" s="42">
        <v>0</v>
      </c>
      <c r="AN18" s="4">
        <v>1</v>
      </c>
      <c r="AO18" s="7">
        <v>1</v>
      </c>
      <c r="AP18" s="295">
        <v>1</v>
      </c>
      <c r="AQ18" s="5">
        <v>0</v>
      </c>
      <c r="AR18" s="5">
        <v>1</v>
      </c>
      <c r="AS18" s="5">
        <v>1</v>
      </c>
      <c r="AT18" s="41">
        <v>0</v>
      </c>
      <c r="AU18" s="6">
        <v>0</v>
      </c>
      <c r="AV18" s="5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3">
        <v>0</v>
      </c>
      <c r="BC18" s="42">
        <v>0</v>
      </c>
      <c r="BD18" s="44">
        <v>0</v>
      </c>
      <c r="BE18" s="44">
        <v>0</v>
      </c>
      <c r="BF18" s="44">
        <v>0</v>
      </c>
      <c r="BG18" s="45">
        <v>0</v>
      </c>
      <c r="BH18" s="44">
        <v>0</v>
      </c>
      <c r="BI18" s="44">
        <v>0</v>
      </c>
      <c r="BJ18" s="43">
        <v>0</v>
      </c>
      <c r="BK18" s="46">
        <v>1</v>
      </c>
      <c r="BL18" s="47">
        <v>1</v>
      </c>
      <c r="BM18" s="47">
        <v>1</v>
      </c>
      <c r="BN18" s="47">
        <v>1</v>
      </c>
      <c r="BO18" s="47">
        <v>1</v>
      </c>
      <c r="BP18" s="47">
        <v>1</v>
      </c>
      <c r="BQ18" s="48">
        <v>1</v>
      </c>
      <c r="BR18" s="49">
        <v>1</v>
      </c>
      <c r="BS18" s="50"/>
      <c r="BT18" s="51" t="str">
        <f t="shared" si="5"/>
        <v>0x21</v>
      </c>
      <c r="BU18" s="51" t="str">
        <f t="shared" si="6"/>
        <v>0x0</v>
      </c>
      <c r="BV18" s="52" t="str">
        <f t="shared" si="7"/>
        <v>0x0</v>
      </c>
      <c r="BW18" s="44">
        <v>0</v>
      </c>
      <c r="BX18" s="40">
        <v>0</v>
      </c>
      <c r="BY18" s="40">
        <v>1</v>
      </c>
      <c r="BZ18" s="40">
        <v>0</v>
      </c>
      <c r="CA18" s="53">
        <v>0</v>
      </c>
      <c r="CB18" s="53">
        <v>0</v>
      </c>
      <c r="CC18" s="53">
        <v>0</v>
      </c>
      <c r="CD18" s="54">
        <v>1</v>
      </c>
      <c r="CE18" s="55">
        <v>0</v>
      </c>
      <c r="CF18" s="56">
        <v>0</v>
      </c>
      <c r="CG18" s="56">
        <v>0</v>
      </c>
      <c r="CH18" s="40">
        <v>0</v>
      </c>
      <c r="CI18" s="40">
        <v>0</v>
      </c>
      <c r="CJ18" s="40">
        <v>0</v>
      </c>
      <c r="CK18" s="40">
        <v>0</v>
      </c>
      <c r="CL18" s="57">
        <v>0</v>
      </c>
      <c r="CM18" s="42">
        <v>0</v>
      </c>
      <c r="CN18" s="44">
        <v>0</v>
      </c>
      <c r="CO18" s="44">
        <v>0</v>
      </c>
      <c r="CP18" s="44">
        <v>0</v>
      </c>
      <c r="CQ18" s="44">
        <v>0</v>
      </c>
      <c r="CR18" s="44">
        <v>0</v>
      </c>
      <c r="CS18" s="44">
        <v>0</v>
      </c>
      <c r="CT18" s="43">
        <v>0</v>
      </c>
      <c r="CU18" s="8"/>
      <c r="CV18" s="132" t="s">
        <v>94</v>
      </c>
      <c r="CW18" s="132"/>
      <c r="CX18" s="133" t="s">
        <v>94</v>
      </c>
      <c r="CY18" s="133"/>
    </row>
    <row r="19" spans="1:103" ht="15" x14ac:dyDescent="0.2">
      <c r="A19" s="240">
        <v>13</v>
      </c>
      <c r="B19" s="290" t="s">
        <v>224</v>
      </c>
      <c r="C19" s="148" t="s">
        <v>257</v>
      </c>
      <c r="D19" s="148" t="s">
        <v>216</v>
      </c>
      <c r="E19" s="135" t="s">
        <v>208</v>
      </c>
      <c r="F19" s="135" t="s">
        <v>263</v>
      </c>
      <c r="G19" s="148" t="s">
        <v>176</v>
      </c>
      <c r="H19" s="148"/>
      <c r="I19" s="148"/>
      <c r="J19" s="148"/>
      <c r="K19" s="148" t="s">
        <v>209</v>
      </c>
      <c r="L19" s="148"/>
      <c r="M19" s="148" t="s">
        <v>266</v>
      </c>
      <c r="N19" s="148"/>
      <c r="O19" s="135" t="s">
        <v>213</v>
      </c>
      <c r="P19" s="135" t="s">
        <v>204</v>
      </c>
      <c r="Q19" s="36" t="str">
        <f t="shared" si="0"/>
        <v>0x51</v>
      </c>
      <c r="R19" s="37" t="str">
        <f t="shared" si="1"/>
        <v>0x6B</v>
      </c>
      <c r="S19" s="37" t="str">
        <f t="shared" si="8"/>
        <v>0x76</v>
      </c>
      <c r="T19" s="37" t="str">
        <f t="shared" si="2"/>
        <v>0x07</v>
      </c>
      <c r="U19" s="37" t="str">
        <f t="shared" si="3"/>
        <v>0x00</v>
      </c>
      <c r="V19" s="38" t="str">
        <f t="shared" si="4"/>
        <v>0xFF</v>
      </c>
      <c r="W19" s="40">
        <v>0</v>
      </c>
      <c r="X19" s="39">
        <v>1</v>
      </c>
      <c r="Y19" s="39">
        <v>0</v>
      </c>
      <c r="Z19" s="39">
        <v>1</v>
      </c>
      <c r="AA19" s="39">
        <v>0</v>
      </c>
      <c r="AB19" s="5">
        <v>0</v>
      </c>
      <c r="AC19" s="5">
        <v>0</v>
      </c>
      <c r="AD19" s="41">
        <v>1</v>
      </c>
      <c r="AE19" s="6">
        <v>0</v>
      </c>
      <c r="AF19" s="5">
        <v>1</v>
      </c>
      <c r="AG19" s="40">
        <v>1</v>
      </c>
      <c r="AH19" s="40">
        <v>0</v>
      </c>
      <c r="AI19" s="39">
        <v>1</v>
      </c>
      <c r="AJ19" s="39">
        <v>0</v>
      </c>
      <c r="AK19" s="39">
        <v>1</v>
      </c>
      <c r="AL19" s="41">
        <v>1</v>
      </c>
      <c r="AM19" s="42">
        <v>0</v>
      </c>
      <c r="AN19" s="4">
        <v>1</v>
      </c>
      <c r="AO19" s="7">
        <v>1</v>
      </c>
      <c r="AP19" s="295">
        <v>1</v>
      </c>
      <c r="AQ19" s="5">
        <v>0</v>
      </c>
      <c r="AR19" s="5">
        <v>1</v>
      </c>
      <c r="AS19" s="5">
        <v>1</v>
      </c>
      <c r="AT19" s="41">
        <v>0</v>
      </c>
      <c r="AU19" s="6">
        <v>0</v>
      </c>
      <c r="AV19" s="5">
        <v>0</v>
      </c>
      <c r="AW19" s="4">
        <v>0</v>
      </c>
      <c r="AX19" s="4">
        <v>0</v>
      </c>
      <c r="AY19" s="4">
        <v>0</v>
      </c>
      <c r="AZ19" s="4">
        <v>1</v>
      </c>
      <c r="BA19" s="4">
        <v>1</v>
      </c>
      <c r="BB19" s="43">
        <v>1</v>
      </c>
      <c r="BC19" s="42">
        <v>0</v>
      </c>
      <c r="BD19" s="44">
        <v>0</v>
      </c>
      <c r="BE19" s="44">
        <v>0</v>
      </c>
      <c r="BF19" s="44">
        <v>0</v>
      </c>
      <c r="BG19" s="45">
        <v>0</v>
      </c>
      <c r="BH19" s="44">
        <v>0</v>
      </c>
      <c r="BI19" s="44">
        <v>0</v>
      </c>
      <c r="BJ19" s="43">
        <v>0</v>
      </c>
      <c r="BK19" s="46">
        <v>1</v>
      </c>
      <c r="BL19" s="47">
        <v>1</v>
      </c>
      <c r="BM19" s="47">
        <v>1</v>
      </c>
      <c r="BN19" s="47">
        <v>1</v>
      </c>
      <c r="BO19" s="47">
        <v>1</v>
      </c>
      <c r="BP19" s="47">
        <v>1</v>
      </c>
      <c r="BQ19" s="48">
        <v>1</v>
      </c>
      <c r="BR19" s="49">
        <v>1</v>
      </c>
      <c r="BS19" s="50"/>
      <c r="BT19" s="51" t="str">
        <f t="shared" si="5"/>
        <v>0x21</v>
      </c>
      <c r="BU19" s="51" t="str">
        <f t="shared" si="6"/>
        <v>0x0</v>
      </c>
      <c r="BV19" s="52" t="str">
        <f t="shared" si="7"/>
        <v>0x0</v>
      </c>
      <c r="BW19" s="44">
        <v>0</v>
      </c>
      <c r="BX19" s="40">
        <v>0</v>
      </c>
      <c r="BY19" s="40">
        <v>1</v>
      </c>
      <c r="BZ19" s="40">
        <v>0</v>
      </c>
      <c r="CA19" s="53">
        <v>0</v>
      </c>
      <c r="CB19" s="53">
        <v>0</v>
      </c>
      <c r="CC19" s="53">
        <v>0</v>
      </c>
      <c r="CD19" s="54">
        <v>1</v>
      </c>
      <c r="CE19" s="55">
        <v>0</v>
      </c>
      <c r="CF19" s="56">
        <v>0</v>
      </c>
      <c r="CG19" s="56">
        <v>0</v>
      </c>
      <c r="CH19" s="40">
        <v>0</v>
      </c>
      <c r="CI19" s="40">
        <v>0</v>
      </c>
      <c r="CJ19" s="40">
        <v>0</v>
      </c>
      <c r="CK19" s="40">
        <v>0</v>
      </c>
      <c r="CL19" s="57">
        <v>0</v>
      </c>
      <c r="CM19" s="42">
        <v>0</v>
      </c>
      <c r="CN19" s="44">
        <v>0</v>
      </c>
      <c r="CO19" s="44">
        <v>0</v>
      </c>
      <c r="CP19" s="44">
        <v>0</v>
      </c>
      <c r="CQ19" s="44">
        <v>0</v>
      </c>
      <c r="CR19" s="44">
        <v>0</v>
      </c>
      <c r="CS19" s="44">
        <v>0</v>
      </c>
      <c r="CT19" s="43">
        <v>0</v>
      </c>
      <c r="CU19" s="8"/>
      <c r="CV19" s="132" t="s">
        <v>94</v>
      </c>
      <c r="CW19" s="132"/>
      <c r="CX19" s="133" t="s">
        <v>94</v>
      </c>
      <c r="CY19" s="133"/>
    </row>
    <row r="20" spans="1:103" ht="15" x14ac:dyDescent="0.2">
      <c r="A20" s="240">
        <v>14</v>
      </c>
      <c r="B20" s="290" t="s">
        <v>692</v>
      </c>
      <c r="C20" s="148" t="s">
        <v>257</v>
      </c>
      <c r="D20" s="148" t="s">
        <v>216</v>
      </c>
      <c r="E20" s="135" t="s">
        <v>208</v>
      </c>
      <c r="F20" s="135" t="s">
        <v>263</v>
      </c>
      <c r="G20" s="148" t="s">
        <v>176</v>
      </c>
      <c r="H20" s="148"/>
      <c r="I20" s="148"/>
      <c r="J20" s="148"/>
      <c r="K20" s="148" t="s">
        <v>209</v>
      </c>
      <c r="L20" s="148"/>
      <c r="M20" s="148" t="s">
        <v>266</v>
      </c>
      <c r="N20" s="148"/>
      <c r="O20" s="135" t="s">
        <v>213</v>
      </c>
      <c r="P20" s="135" t="s">
        <v>204</v>
      </c>
      <c r="Q20" s="36" t="str">
        <f t="shared" ref="Q20" si="27">CONCATENATE("0x",DEC2HEX(AD20*1+AC20*2+AB20*4+AA20*8+Z20*16+Y20*32+X20*64+W20*128,2))</f>
        <v>0x51</v>
      </c>
      <c r="R20" s="37" t="str">
        <f t="shared" ref="R20" si="28">CONCATENATE("0x",DEC2HEX(AL20*1+AK20*2+AJ20*4+AI20*8+AH20*16+AG20*32+AF20*64+AE20*128,2))</f>
        <v>0x6B</v>
      </c>
      <c r="S20" s="37" t="str">
        <f t="shared" ref="S20" si="29">CONCATENATE("0x",DEC2HEX(AT20*1+AS20*2+AR20*4+AQ20*8+AP20*16+AO20*32+AN20*64+AM20*128,2))</f>
        <v>0x76</v>
      </c>
      <c r="T20" s="37" t="str">
        <f t="shared" ref="T20" si="30">CONCATENATE("0x",DEC2HEX(BB20*1+BA20*2+AZ20*4+AY20*8+AX20*16+AW20*32+AV20*64+AU20*128,2))</f>
        <v>0x07</v>
      </c>
      <c r="U20" s="37" t="str">
        <f t="shared" ref="U20" si="31">CONCATENATE("0x",DEC2HEX(BJ20*1+BI20*2+BH20*4+BG20*8+BF20*16+BE20*32+BD20*64+BC20*128,2))</f>
        <v>0x00</v>
      </c>
      <c r="V20" s="38" t="str">
        <f t="shared" ref="V20" si="32">CONCATENATE("0x",DEC2HEX(BR20*1+BQ20*2+BP20*4+BO20*8+BN20*16+BM20*32+BL20*64+BK20*128,2))</f>
        <v>0xFF</v>
      </c>
      <c r="W20" s="40">
        <v>0</v>
      </c>
      <c r="X20" s="39">
        <v>1</v>
      </c>
      <c r="Y20" s="39">
        <v>0</v>
      </c>
      <c r="Z20" s="39">
        <v>1</v>
      </c>
      <c r="AA20" s="39">
        <v>0</v>
      </c>
      <c r="AB20" s="5">
        <v>0</v>
      </c>
      <c r="AC20" s="5">
        <v>0</v>
      </c>
      <c r="AD20" s="41">
        <v>1</v>
      </c>
      <c r="AE20" s="6">
        <v>0</v>
      </c>
      <c r="AF20" s="5">
        <v>1</v>
      </c>
      <c r="AG20" s="40">
        <v>1</v>
      </c>
      <c r="AH20" s="40">
        <v>0</v>
      </c>
      <c r="AI20" s="39">
        <v>1</v>
      </c>
      <c r="AJ20" s="39">
        <v>0</v>
      </c>
      <c r="AK20" s="39">
        <v>1</v>
      </c>
      <c r="AL20" s="41">
        <v>1</v>
      </c>
      <c r="AM20" s="42">
        <v>0</v>
      </c>
      <c r="AN20" s="4">
        <v>1</v>
      </c>
      <c r="AO20" s="7">
        <v>1</v>
      </c>
      <c r="AP20" s="295">
        <v>1</v>
      </c>
      <c r="AQ20" s="5">
        <v>0</v>
      </c>
      <c r="AR20" s="5">
        <v>1</v>
      </c>
      <c r="AS20" s="5">
        <v>1</v>
      </c>
      <c r="AT20" s="41">
        <v>0</v>
      </c>
      <c r="AU20" s="6">
        <v>0</v>
      </c>
      <c r="AV20" s="5">
        <v>0</v>
      </c>
      <c r="AW20" s="4">
        <v>0</v>
      </c>
      <c r="AX20" s="4">
        <v>0</v>
      </c>
      <c r="AY20" s="4">
        <v>0</v>
      </c>
      <c r="AZ20" s="4">
        <v>1</v>
      </c>
      <c r="BA20" s="4">
        <v>1</v>
      </c>
      <c r="BB20" s="43">
        <v>1</v>
      </c>
      <c r="BC20" s="42">
        <v>0</v>
      </c>
      <c r="BD20" s="44">
        <v>0</v>
      </c>
      <c r="BE20" s="44">
        <v>0</v>
      </c>
      <c r="BF20" s="44">
        <v>0</v>
      </c>
      <c r="BG20" s="45">
        <v>0</v>
      </c>
      <c r="BH20" s="44">
        <v>0</v>
      </c>
      <c r="BI20" s="44">
        <v>0</v>
      </c>
      <c r="BJ20" s="43">
        <v>0</v>
      </c>
      <c r="BK20" s="46">
        <v>1</v>
      </c>
      <c r="BL20" s="47">
        <v>1</v>
      </c>
      <c r="BM20" s="47">
        <v>1</v>
      </c>
      <c r="BN20" s="47">
        <v>1</v>
      </c>
      <c r="BO20" s="47">
        <v>1</v>
      </c>
      <c r="BP20" s="47">
        <v>1</v>
      </c>
      <c r="BQ20" s="48">
        <v>1</v>
      </c>
      <c r="BR20" s="49">
        <v>1</v>
      </c>
      <c r="BS20" s="50"/>
      <c r="BT20" s="51" t="str">
        <f t="shared" ref="BT20" si="33">CONCATENATE("0x",DEC2HEX(CD20*1+CC20*2+CB20*4+CA20*8+BZ20*16+BY20*32+BX20*64+BW20*128))</f>
        <v>0x21</v>
      </c>
      <c r="BU20" s="51" t="str">
        <f t="shared" ref="BU20" si="34">CONCATENATE("0x",DEC2HEX(CL20*1+CK20*2+CJ20*4+CI20*8+CH20*16+CG20*32+CF20*64+CE20*128))</f>
        <v>0x0</v>
      </c>
      <c r="BV20" s="52" t="str">
        <f t="shared" ref="BV20" si="35">CONCATENATE("0x",DEC2HEX(CT20*1+CS20*2+CR20*4+CQ20*8+CP20*16+CO20*32+CN20*64+CM20*128))</f>
        <v>0x0</v>
      </c>
      <c r="BW20" s="44">
        <v>0</v>
      </c>
      <c r="BX20" s="40">
        <v>0</v>
      </c>
      <c r="BY20" s="40">
        <v>1</v>
      </c>
      <c r="BZ20" s="40">
        <v>0</v>
      </c>
      <c r="CA20" s="53">
        <v>0</v>
      </c>
      <c r="CB20" s="53">
        <v>0</v>
      </c>
      <c r="CC20" s="53">
        <v>0</v>
      </c>
      <c r="CD20" s="54">
        <v>1</v>
      </c>
      <c r="CE20" s="55">
        <v>0</v>
      </c>
      <c r="CF20" s="56">
        <v>0</v>
      </c>
      <c r="CG20" s="56">
        <v>0</v>
      </c>
      <c r="CH20" s="40">
        <v>0</v>
      </c>
      <c r="CI20" s="40">
        <v>0</v>
      </c>
      <c r="CJ20" s="40">
        <v>0</v>
      </c>
      <c r="CK20" s="40">
        <v>0</v>
      </c>
      <c r="CL20" s="57">
        <v>0</v>
      </c>
      <c r="CM20" s="42">
        <v>0</v>
      </c>
      <c r="CN20" s="44">
        <v>0</v>
      </c>
      <c r="CO20" s="44">
        <v>0</v>
      </c>
      <c r="CP20" s="44">
        <v>0</v>
      </c>
      <c r="CQ20" s="44">
        <v>0</v>
      </c>
      <c r="CR20" s="44">
        <v>0</v>
      </c>
      <c r="CS20" s="44">
        <v>0</v>
      </c>
      <c r="CT20" s="43">
        <v>0</v>
      </c>
      <c r="CU20" s="8"/>
      <c r="CV20" s="132" t="s">
        <v>94</v>
      </c>
      <c r="CW20" s="132"/>
      <c r="CX20" s="133" t="s">
        <v>94</v>
      </c>
      <c r="CY20" s="133"/>
    </row>
    <row r="21" spans="1:103" ht="15" x14ac:dyDescent="0.2">
      <c r="A21" s="240">
        <v>15</v>
      </c>
      <c r="B21" s="290" t="s">
        <v>225</v>
      </c>
      <c r="C21" s="148" t="s">
        <v>257</v>
      </c>
      <c r="D21" s="148" t="s">
        <v>207</v>
      </c>
      <c r="E21" s="135" t="s">
        <v>212</v>
      </c>
      <c r="F21" s="135" t="s">
        <v>45</v>
      </c>
      <c r="G21" s="148" t="s">
        <v>661</v>
      </c>
      <c r="H21" s="148" t="s">
        <v>94</v>
      </c>
      <c r="I21" s="148" t="s">
        <v>94</v>
      </c>
      <c r="J21" s="148" t="s">
        <v>94</v>
      </c>
      <c r="K21" s="148"/>
      <c r="L21" s="148" t="s">
        <v>94</v>
      </c>
      <c r="M21" s="148" t="s">
        <v>266</v>
      </c>
      <c r="N21" s="148" t="s">
        <v>94</v>
      </c>
      <c r="O21" s="135" t="s">
        <v>213</v>
      </c>
      <c r="P21" s="135" t="s">
        <v>203</v>
      </c>
      <c r="Q21" s="36" t="str">
        <f t="shared" si="0"/>
        <v>0x2A</v>
      </c>
      <c r="R21" s="37" t="str">
        <f t="shared" si="1"/>
        <v>0x7B</v>
      </c>
      <c r="S21" s="37" t="str">
        <f t="shared" si="8"/>
        <v>0x77</v>
      </c>
      <c r="T21" s="37" t="str">
        <f t="shared" si="2"/>
        <v>0x0A</v>
      </c>
      <c r="U21" s="37" t="str">
        <f t="shared" si="3"/>
        <v>0x00</v>
      </c>
      <c r="V21" s="38" t="str">
        <f t="shared" si="4"/>
        <v>0xFF</v>
      </c>
      <c r="W21" s="40">
        <v>0</v>
      </c>
      <c r="X21" s="39">
        <v>0</v>
      </c>
      <c r="Y21" s="39">
        <v>1</v>
      </c>
      <c r="Z21" s="39">
        <v>0</v>
      </c>
      <c r="AA21" s="39">
        <v>1</v>
      </c>
      <c r="AB21" s="5">
        <v>0</v>
      </c>
      <c r="AC21" s="5">
        <v>1</v>
      </c>
      <c r="AD21" s="41">
        <v>0</v>
      </c>
      <c r="AE21" s="6">
        <v>0</v>
      </c>
      <c r="AF21" s="5">
        <v>1</v>
      </c>
      <c r="AG21" s="40">
        <v>1</v>
      </c>
      <c r="AH21" s="40">
        <v>1</v>
      </c>
      <c r="AI21" s="39">
        <v>1</v>
      </c>
      <c r="AJ21" s="39">
        <v>0</v>
      </c>
      <c r="AK21" s="39">
        <v>1</v>
      </c>
      <c r="AL21" s="41">
        <v>1</v>
      </c>
      <c r="AM21" s="42">
        <v>0</v>
      </c>
      <c r="AN21" s="4">
        <v>1</v>
      </c>
      <c r="AO21" s="7">
        <v>1</v>
      </c>
      <c r="AP21" s="295">
        <v>1</v>
      </c>
      <c r="AQ21" s="5">
        <v>0</v>
      </c>
      <c r="AR21" s="5">
        <v>1</v>
      </c>
      <c r="AS21" s="5">
        <v>1</v>
      </c>
      <c r="AT21" s="41">
        <v>1</v>
      </c>
      <c r="AU21" s="6">
        <v>0</v>
      </c>
      <c r="AV21" s="5">
        <v>0</v>
      </c>
      <c r="AW21" s="4">
        <v>0</v>
      </c>
      <c r="AX21" s="4">
        <v>0</v>
      </c>
      <c r="AY21" s="4">
        <v>1</v>
      </c>
      <c r="AZ21" s="4">
        <v>0</v>
      </c>
      <c r="BA21" s="4">
        <v>1</v>
      </c>
      <c r="BB21" s="43">
        <v>0</v>
      </c>
      <c r="BC21" s="42">
        <v>0</v>
      </c>
      <c r="BD21" s="44">
        <v>0</v>
      </c>
      <c r="BE21" s="44">
        <v>0</v>
      </c>
      <c r="BF21" s="44">
        <v>0</v>
      </c>
      <c r="BG21" s="45">
        <v>0</v>
      </c>
      <c r="BH21" s="44">
        <v>0</v>
      </c>
      <c r="BI21" s="44">
        <v>0</v>
      </c>
      <c r="BJ21" s="43">
        <v>0</v>
      </c>
      <c r="BK21" s="46">
        <v>1</v>
      </c>
      <c r="BL21" s="47">
        <v>1</v>
      </c>
      <c r="BM21" s="47">
        <v>1</v>
      </c>
      <c r="BN21" s="47">
        <v>1</v>
      </c>
      <c r="BO21" s="47">
        <v>1</v>
      </c>
      <c r="BP21" s="47">
        <v>1</v>
      </c>
      <c r="BQ21" s="48">
        <v>1</v>
      </c>
      <c r="BR21" s="49">
        <v>1</v>
      </c>
      <c r="BS21" s="50"/>
      <c r="BT21" s="51" t="str">
        <f t="shared" si="5"/>
        <v>0x21</v>
      </c>
      <c r="BU21" s="51" t="str">
        <f t="shared" si="6"/>
        <v>0x0</v>
      </c>
      <c r="BV21" s="52" t="str">
        <f t="shared" si="7"/>
        <v>0x0</v>
      </c>
      <c r="BW21" s="44">
        <v>0</v>
      </c>
      <c r="BX21" s="40">
        <v>0</v>
      </c>
      <c r="BY21" s="40">
        <v>1</v>
      </c>
      <c r="BZ21" s="40">
        <v>0</v>
      </c>
      <c r="CA21" s="53">
        <v>0</v>
      </c>
      <c r="CB21" s="53">
        <v>0</v>
      </c>
      <c r="CC21" s="53">
        <v>0</v>
      </c>
      <c r="CD21" s="54">
        <v>1</v>
      </c>
      <c r="CE21" s="55">
        <v>0</v>
      </c>
      <c r="CF21" s="56">
        <v>0</v>
      </c>
      <c r="CG21" s="56">
        <v>0</v>
      </c>
      <c r="CH21" s="40">
        <v>0</v>
      </c>
      <c r="CI21" s="40">
        <v>0</v>
      </c>
      <c r="CJ21" s="40">
        <v>0</v>
      </c>
      <c r="CK21" s="40">
        <v>0</v>
      </c>
      <c r="CL21" s="57">
        <v>0</v>
      </c>
      <c r="CM21" s="42">
        <v>0</v>
      </c>
      <c r="CN21" s="44">
        <v>0</v>
      </c>
      <c r="CO21" s="44">
        <v>0</v>
      </c>
      <c r="CP21" s="44">
        <v>0</v>
      </c>
      <c r="CQ21" s="44">
        <v>0</v>
      </c>
      <c r="CR21" s="44">
        <v>0</v>
      </c>
      <c r="CS21" s="44">
        <v>0</v>
      </c>
      <c r="CT21" s="43">
        <v>0</v>
      </c>
      <c r="CU21" s="8"/>
      <c r="CV21" s="132" t="s">
        <v>94</v>
      </c>
      <c r="CW21" s="132" t="s">
        <v>94</v>
      </c>
      <c r="CX21" s="133" t="s">
        <v>94</v>
      </c>
      <c r="CY21" s="133" t="s">
        <v>94</v>
      </c>
    </row>
    <row r="22" spans="1:103" ht="15" x14ac:dyDescent="0.2">
      <c r="A22" s="240">
        <v>16</v>
      </c>
      <c r="B22" s="290" t="s">
        <v>226</v>
      </c>
      <c r="C22" s="148" t="s">
        <v>257</v>
      </c>
      <c r="D22" s="148" t="s">
        <v>216</v>
      </c>
      <c r="E22" s="135" t="s">
        <v>212</v>
      </c>
      <c r="F22" s="135" t="s">
        <v>45</v>
      </c>
      <c r="G22" s="148" t="s">
        <v>662</v>
      </c>
      <c r="H22" s="148"/>
      <c r="I22" s="148" t="s">
        <v>94</v>
      </c>
      <c r="J22" s="148"/>
      <c r="K22" s="148" t="s">
        <v>217</v>
      </c>
      <c r="L22" s="148"/>
      <c r="M22" s="148" t="s">
        <v>266</v>
      </c>
      <c r="N22" s="148"/>
      <c r="O22" s="135"/>
      <c r="P22" s="135" t="s">
        <v>203</v>
      </c>
      <c r="Q22" s="36" t="str">
        <f t="shared" si="0"/>
        <v>0x21</v>
      </c>
      <c r="R22" s="37" t="str">
        <f t="shared" si="1"/>
        <v>0x7B</v>
      </c>
      <c r="S22" s="37" t="str">
        <f t="shared" si="8"/>
        <v>0x66</v>
      </c>
      <c r="T22" s="37" t="str">
        <f t="shared" si="2"/>
        <v>0x0A</v>
      </c>
      <c r="U22" s="37" t="str">
        <f t="shared" si="3"/>
        <v>0x00</v>
      </c>
      <c r="V22" s="38" t="str">
        <f t="shared" si="4"/>
        <v>0xFF</v>
      </c>
      <c r="W22" s="40">
        <v>0</v>
      </c>
      <c r="X22" s="39">
        <v>0</v>
      </c>
      <c r="Y22" s="39">
        <v>1</v>
      </c>
      <c r="Z22" s="39">
        <v>0</v>
      </c>
      <c r="AA22" s="39">
        <v>0</v>
      </c>
      <c r="AB22" s="5">
        <v>0</v>
      </c>
      <c r="AC22" s="5">
        <v>0</v>
      </c>
      <c r="AD22" s="41">
        <v>1</v>
      </c>
      <c r="AE22" s="6">
        <v>0</v>
      </c>
      <c r="AF22" s="5">
        <v>1</v>
      </c>
      <c r="AG22" s="40">
        <v>1</v>
      </c>
      <c r="AH22" s="40">
        <v>1</v>
      </c>
      <c r="AI22" s="39">
        <v>1</v>
      </c>
      <c r="AJ22" s="39">
        <v>0</v>
      </c>
      <c r="AK22" s="39">
        <v>1</v>
      </c>
      <c r="AL22" s="41">
        <v>1</v>
      </c>
      <c r="AM22" s="42">
        <v>0</v>
      </c>
      <c r="AN22" s="4">
        <v>1</v>
      </c>
      <c r="AO22" s="7">
        <v>1</v>
      </c>
      <c r="AP22" s="4">
        <v>0</v>
      </c>
      <c r="AQ22" s="5">
        <v>0</v>
      </c>
      <c r="AR22" s="5">
        <v>1</v>
      </c>
      <c r="AS22" s="5">
        <v>1</v>
      </c>
      <c r="AT22" s="41">
        <v>0</v>
      </c>
      <c r="AU22" s="6">
        <v>0</v>
      </c>
      <c r="AV22" s="5">
        <v>0</v>
      </c>
      <c r="AW22" s="4">
        <v>0</v>
      </c>
      <c r="AX22" s="4">
        <v>0</v>
      </c>
      <c r="AY22" s="4">
        <v>1</v>
      </c>
      <c r="AZ22" s="4">
        <v>0</v>
      </c>
      <c r="BA22" s="4">
        <v>1</v>
      </c>
      <c r="BB22" s="43">
        <v>0</v>
      </c>
      <c r="BC22" s="42">
        <v>0</v>
      </c>
      <c r="BD22" s="44">
        <v>0</v>
      </c>
      <c r="BE22" s="44">
        <v>0</v>
      </c>
      <c r="BF22" s="44">
        <v>0</v>
      </c>
      <c r="BG22" s="45">
        <v>0</v>
      </c>
      <c r="BH22" s="44">
        <v>0</v>
      </c>
      <c r="BI22" s="44">
        <v>0</v>
      </c>
      <c r="BJ22" s="43">
        <v>0</v>
      </c>
      <c r="BK22" s="46">
        <v>1</v>
      </c>
      <c r="BL22" s="47">
        <v>1</v>
      </c>
      <c r="BM22" s="47">
        <v>1</v>
      </c>
      <c r="BN22" s="47">
        <v>1</v>
      </c>
      <c r="BO22" s="47">
        <v>1</v>
      </c>
      <c r="BP22" s="47">
        <v>1</v>
      </c>
      <c r="BQ22" s="48">
        <v>1</v>
      </c>
      <c r="BR22" s="49">
        <v>1</v>
      </c>
      <c r="BS22" s="50"/>
      <c r="BT22" s="51" t="str">
        <f t="shared" si="5"/>
        <v>0x21</v>
      </c>
      <c r="BU22" s="51" t="str">
        <f t="shared" si="6"/>
        <v>0x0</v>
      </c>
      <c r="BV22" s="52" t="str">
        <f t="shared" si="7"/>
        <v>0x0</v>
      </c>
      <c r="BW22" s="44">
        <v>0</v>
      </c>
      <c r="BX22" s="40">
        <v>0</v>
      </c>
      <c r="BY22" s="40">
        <v>1</v>
      </c>
      <c r="BZ22" s="40">
        <v>0</v>
      </c>
      <c r="CA22" s="53">
        <v>0</v>
      </c>
      <c r="CB22" s="53">
        <v>0</v>
      </c>
      <c r="CC22" s="53">
        <v>0</v>
      </c>
      <c r="CD22" s="54">
        <v>1</v>
      </c>
      <c r="CE22" s="55">
        <v>0</v>
      </c>
      <c r="CF22" s="56">
        <v>0</v>
      </c>
      <c r="CG22" s="56">
        <v>0</v>
      </c>
      <c r="CH22" s="40">
        <v>0</v>
      </c>
      <c r="CI22" s="40">
        <v>0</v>
      </c>
      <c r="CJ22" s="40">
        <v>0</v>
      </c>
      <c r="CK22" s="40">
        <v>0</v>
      </c>
      <c r="CL22" s="57">
        <v>0</v>
      </c>
      <c r="CM22" s="42">
        <v>0</v>
      </c>
      <c r="CN22" s="44">
        <v>0</v>
      </c>
      <c r="CO22" s="44">
        <v>0</v>
      </c>
      <c r="CP22" s="44">
        <v>0</v>
      </c>
      <c r="CQ22" s="44">
        <v>0</v>
      </c>
      <c r="CR22" s="44">
        <v>0</v>
      </c>
      <c r="CS22" s="44">
        <v>0</v>
      </c>
      <c r="CT22" s="43">
        <v>0</v>
      </c>
      <c r="CU22" s="8"/>
      <c r="CV22" s="132" t="s">
        <v>94</v>
      </c>
      <c r="CW22" s="132"/>
      <c r="CX22" s="133"/>
      <c r="CY22" s="133"/>
    </row>
    <row r="23" spans="1:103" ht="15" x14ac:dyDescent="0.2">
      <c r="A23" s="240">
        <v>17</v>
      </c>
      <c r="B23" s="290" t="s">
        <v>227</v>
      </c>
      <c r="C23" s="148" t="s">
        <v>257</v>
      </c>
      <c r="D23" s="148" t="s">
        <v>207</v>
      </c>
      <c r="E23" s="135" t="s">
        <v>208</v>
      </c>
      <c r="F23" s="135" t="s">
        <v>45</v>
      </c>
      <c r="G23" s="148" t="s">
        <v>662</v>
      </c>
      <c r="H23" s="148"/>
      <c r="I23" s="148" t="s">
        <v>94</v>
      </c>
      <c r="J23" s="148" t="s">
        <v>94</v>
      </c>
      <c r="K23" s="148"/>
      <c r="L23" s="148" t="s">
        <v>94</v>
      </c>
      <c r="M23" s="148" t="s">
        <v>266</v>
      </c>
      <c r="N23" s="148" t="s">
        <v>94</v>
      </c>
      <c r="O23" s="135"/>
      <c r="P23" s="135" t="s">
        <v>203</v>
      </c>
      <c r="Q23" s="36" t="str">
        <f t="shared" si="0"/>
        <v>0x62</v>
      </c>
      <c r="R23" s="37" t="str">
        <f t="shared" si="1"/>
        <v>0x7B</v>
      </c>
      <c r="S23" s="37" t="str">
        <f t="shared" si="8"/>
        <v>0x67</v>
      </c>
      <c r="T23" s="37" t="str">
        <f t="shared" si="2"/>
        <v>0x0A</v>
      </c>
      <c r="U23" s="37" t="str">
        <f t="shared" si="3"/>
        <v>0x00</v>
      </c>
      <c r="V23" s="38" t="str">
        <f t="shared" si="4"/>
        <v>0xFF</v>
      </c>
      <c r="W23" s="40">
        <v>0</v>
      </c>
      <c r="X23" s="39">
        <v>1</v>
      </c>
      <c r="Y23" s="39">
        <v>1</v>
      </c>
      <c r="Z23" s="39">
        <v>0</v>
      </c>
      <c r="AA23" s="39">
        <v>0</v>
      </c>
      <c r="AB23" s="5">
        <v>0</v>
      </c>
      <c r="AC23" s="5">
        <v>1</v>
      </c>
      <c r="AD23" s="41">
        <v>0</v>
      </c>
      <c r="AE23" s="6">
        <v>0</v>
      </c>
      <c r="AF23" s="5">
        <v>1</v>
      </c>
      <c r="AG23" s="40">
        <v>1</v>
      </c>
      <c r="AH23" s="40">
        <v>1</v>
      </c>
      <c r="AI23" s="39">
        <v>1</v>
      </c>
      <c r="AJ23" s="39">
        <v>0</v>
      </c>
      <c r="AK23" s="39">
        <v>1</v>
      </c>
      <c r="AL23" s="41">
        <v>1</v>
      </c>
      <c r="AM23" s="42">
        <v>0</v>
      </c>
      <c r="AN23" s="4">
        <v>1</v>
      </c>
      <c r="AO23" s="7">
        <v>1</v>
      </c>
      <c r="AP23" s="4">
        <v>0</v>
      </c>
      <c r="AQ23" s="5">
        <v>0</v>
      </c>
      <c r="AR23" s="5">
        <v>1</v>
      </c>
      <c r="AS23" s="5">
        <v>1</v>
      </c>
      <c r="AT23" s="41">
        <v>1</v>
      </c>
      <c r="AU23" s="6">
        <v>0</v>
      </c>
      <c r="AV23" s="5">
        <v>0</v>
      </c>
      <c r="AW23" s="4">
        <v>0</v>
      </c>
      <c r="AX23" s="4">
        <v>0</v>
      </c>
      <c r="AY23" s="4">
        <v>1</v>
      </c>
      <c r="AZ23" s="4">
        <v>0</v>
      </c>
      <c r="BA23" s="4">
        <v>1</v>
      </c>
      <c r="BB23" s="43">
        <v>0</v>
      </c>
      <c r="BC23" s="42">
        <v>0</v>
      </c>
      <c r="BD23" s="44">
        <v>0</v>
      </c>
      <c r="BE23" s="44">
        <v>0</v>
      </c>
      <c r="BF23" s="44">
        <v>0</v>
      </c>
      <c r="BG23" s="45">
        <v>0</v>
      </c>
      <c r="BH23" s="44">
        <v>0</v>
      </c>
      <c r="BI23" s="44">
        <v>0</v>
      </c>
      <c r="BJ23" s="43">
        <v>0</v>
      </c>
      <c r="BK23" s="46">
        <v>1</v>
      </c>
      <c r="BL23" s="47">
        <v>1</v>
      </c>
      <c r="BM23" s="47">
        <v>1</v>
      </c>
      <c r="BN23" s="47">
        <v>1</v>
      </c>
      <c r="BO23" s="47">
        <v>1</v>
      </c>
      <c r="BP23" s="47">
        <v>1</v>
      </c>
      <c r="BQ23" s="48">
        <v>1</v>
      </c>
      <c r="BR23" s="49">
        <v>1</v>
      </c>
      <c r="BS23" s="50"/>
      <c r="BT23" s="51" t="str">
        <f t="shared" si="5"/>
        <v>0x21</v>
      </c>
      <c r="BU23" s="51" t="str">
        <f t="shared" si="6"/>
        <v>0x0</v>
      </c>
      <c r="BV23" s="52" t="str">
        <f t="shared" si="7"/>
        <v>0x0</v>
      </c>
      <c r="BW23" s="44">
        <v>0</v>
      </c>
      <c r="BX23" s="40">
        <v>0</v>
      </c>
      <c r="BY23" s="40">
        <v>1</v>
      </c>
      <c r="BZ23" s="40">
        <v>0</v>
      </c>
      <c r="CA23" s="53">
        <v>0</v>
      </c>
      <c r="CB23" s="53">
        <v>0</v>
      </c>
      <c r="CC23" s="53">
        <v>0</v>
      </c>
      <c r="CD23" s="54">
        <v>1</v>
      </c>
      <c r="CE23" s="55">
        <v>0</v>
      </c>
      <c r="CF23" s="56">
        <v>0</v>
      </c>
      <c r="CG23" s="56">
        <v>0</v>
      </c>
      <c r="CH23" s="40">
        <v>0</v>
      </c>
      <c r="CI23" s="40">
        <v>0</v>
      </c>
      <c r="CJ23" s="40">
        <v>0</v>
      </c>
      <c r="CK23" s="40">
        <v>0</v>
      </c>
      <c r="CL23" s="57">
        <v>0</v>
      </c>
      <c r="CM23" s="42">
        <v>0</v>
      </c>
      <c r="CN23" s="44">
        <v>0</v>
      </c>
      <c r="CO23" s="44">
        <v>0</v>
      </c>
      <c r="CP23" s="44">
        <v>0</v>
      </c>
      <c r="CQ23" s="44">
        <v>0</v>
      </c>
      <c r="CR23" s="44">
        <v>0</v>
      </c>
      <c r="CS23" s="44">
        <v>0</v>
      </c>
      <c r="CT23" s="43">
        <v>0</v>
      </c>
      <c r="CU23" s="8"/>
      <c r="CV23" s="132" t="s">
        <v>94</v>
      </c>
      <c r="CW23" s="132" t="s">
        <v>94</v>
      </c>
      <c r="CX23" s="133"/>
      <c r="CY23" s="133" t="s">
        <v>94</v>
      </c>
    </row>
    <row r="24" spans="1:103" ht="15" x14ac:dyDescent="0.2">
      <c r="A24" s="240">
        <v>18</v>
      </c>
      <c r="B24" s="290" t="s">
        <v>228</v>
      </c>
      <c r="C24" s="148" t="s">
        <v>257</v>
      </c>
      <c r="D24" s="148" t="s">
        <v>216</v>
      </c>
      <c r="E24" s="135" t="s">
        <v>208</v>
      </c>
      <c r="F24" s="135" t="s">
        <v>45</v>
      </c>
      <c r="G24" s="148" t="s">
        <v>662</v>
      </c>
      <c r="H24" s="148"/>
      <c r="I24" s="148" t="s">
        <v>94</v>
      </c>
      <c r="J24" s="148"/>
      <c r="K24" s="148" t="s">
        <v>209</v>
      </c>
      <c r="L24" s="148"/>
      <c r="M24" s="148"/>
      <c r="N24" s="148"/>
      <c r="O24" s="135"/>
      <c r="P24" s="135" t="s">
        <v>203</v>
      </c>
      <c r="Q24" s="36" t="str">
        <f t="shared" si="0"/>
        <v>0x61</v>
      </c>
      <c r="R24" s="37" t="str">
        <f t="shared" si="1"/>
        <v>0x7B</v>
      </c>
      <c r="S24" s="37" t="str">
        <f t="shared" si="8"/>
        <v>0x46</v>
      </c>
      <c r="T24" s="37" t="str">
        <f t="shared" si="2"/>
        <v>0x0A</v>
      </c>
      <c r="U24" s="37" t="str">
        <f t="shared" si="3"/>
        <v>0x00</v>
      </c>
      <c r="V24" s="38" t="str">
        <f t="shared" si="4"/>
        <v>0xFF</v>
      </c>
      <c r="W24" s="40">
        <v>0</v>
      </c>
      <c r="X24" s="39">
        <v>1</v>
      </c>
      <c r="Y24" s="39">
        <v>1</v>
      </c>
      <c r="Z24" s="39">
        <v>0</v>
      </c>
      <c r="AA24" s="39">
        <v>0</v>
      </c>
      <c r="AB24" s="5">
        <v>0</v>
      </c>
      <c r="AC24" s="5">
        <v>0</v>
      </c>
      <c r="AD24" s="41">
        <v>1</v>
      </c>
      <c r="AE24" s="6">
        <v>0</v>
      </c>
      <c r="AF24" s="5">
        <v>1</v>
      </c>
      <c r="AG24" s="40">
        <v>1</v>
      </c>
      <c r="AH24" s="40">
        <v>1</v>
      </c>
      <c r="AI24" s="39">
        <v>1</v>
      </c>
      <c r="AJ24" s="39">
        <v>0</v>
      </c>
      <c r="AK24" s="39">
        <v>1</v>
      </c>
      <c r="AL24" s="41">
        <v>1</v>
      </c>
      <c r="AM24" s="42">
        <v>0</v>
      </c>
      <c r="AN24" s="4">
        <v>1</v>
      </c>
      <c r="AO24" s="7">
        <v>0</v>
      </c>
      <c r="AP24" s="4">
        <v>0</v>
      </c>
      <c r="AQ24" s="5">
        <v>0</v>
      </c>
      <c r="AR24" s="5">
        <v>1</v>
      </c>
      <c r="AS24" s="5">
        <v>1</v>
      </c>
      <c r="AT24" s="41">
        <v>0</v>
      </c>
      <c r="AU24" s="6">
        <v>0</v>
      </c>
      <c r="AV24" s="5">
        <v>0</v>
      </c>
      <c r="AW24" s="4">
        <v>0</v>
      </c>
      <c r="AX24" s="4">
        <v>0</v>
      </c>
      <c r="AY24" s="4">
        <v>1</v>
      </c>
      <c r="AZ24" s="4">
        <v>0</v>
      </c>
      <c r="BA24" s="4">
        <v>1</v>
      </c>
      <c r="BB24" s="43">
        <v>0</v>
      </c>
      <c r="BC24" s="42">
        <v>0</v>
      </c>
      <c r="BD24" s="44">
        <v>0</v>
      </c>
      <c r="BE24" s="44">
        <v>0</v>
      </c>
      <c r="BF24" s="44">
        <v>0</v>
      </c>
      <c r="BG24" s="45">
        <v>0</v>
      </c>
      <c r="BH24" s="44">
        <v>0</v>
      </c>
      <c r="BI24" s="44">
        <v>0</v>
      </c>
      <c r="BJ24" s="43">
        <v>0</v>
      </c>
      <c r="BK24" s="46">
        <v>1</v>
      </c>
      <c r="BL24" s="47">
        <v>1</v>
      </c>
      <c r="BM24" s="47">
        <v>1</v>
      </c>
      <c r="BN24" s="47">
        <v>1</v>
      </c>
      <c r="BO24" s="47">
        <v>1</v>
      </c>
      <c r="BP24" s="47">
        <v>1</v>
      </c>
      <c r="BQ24" s="48">
        <v>1</v>
      </c>
      <c r="BR24" s="49">
        <v>1</v>
      </c>
      <c r="BS24" s="50"/>
      <c r="BT24" s="51" t="str">
        <f t="shared" si="5"/>
        <v>0x21</v>
      </c>
      <c r="BU24" s="51" t="str">
        <f t="shared" si="6"/>
        <v>0x0</v>
      </c>
      <c r="BV24" s="52" t="str">
        <f t="shared" si="7"/>
        <v>0x0</v>
      </c>
      <c r="BW24" s="44">
        <v>0</v>
      </c>
      <c r="BX24" s="40">
        <v>0</v>
      </c>
      <c r="BY24" s="40">
        <v>1</v>
      </c>
      <c r="BZ24" s="40">
        <v>0</v>
      </c>
      <c r="CA24" s="53">
        <v>0</v>
      </c>
      <c r="CB24" s="53">
        <v>0</v>
      </c>
      <c r="CC24" s="53">
        <v>0</v>
      </c>
      <c r="CD24" s="54">
        <v>1</v>
      </c>
      <c r="CE24" s="55">
        <v>0</v>
      </c>
      <c r="CF24" s="56">
        <v>0</v>
      </c>
      <c r="CG24" s="56">
        <v>0</v>
      </c>
      <c r="CH24" s="40">
        <v>0</v>
      </c>
      <c r="CI24" s="40">
        <v>0</v>
      </c>
      <c r="CJ24" s="40">
        <v>0</v>
      </c>
      <c r="CK24" s="40">
        <v>0</v>
      </c>
      <c r="CL24" s="57">
        <v>0</v>
      </c>
      <c r="CM24" s="42">
        <v>0</v>
      </c>
      <c r="CN24" s="44">
        <v>0</v>
      </c>
      <c r="CO24" s="44">
        <v>0</v>
      </c>
      <c r="CP24" s="44">
        <v>0</v>
      </c>
      <c r="CQ24" s="44">
        <v>0</v>
      </c>
      <c r="CR24" s="44">
        <v>0</v>
      </c>
      <c r="CS24" s="44">
        <v>0</v>
      </c>
      <c r="CT24" s="43">
        <v>0</v>
      </c>
      <c r="CU24" s="8"/>
      <c r="CV24" s="132" t="s">
        <v>94</v>
      </c>
      <c r="CW24" s="132"/>
      <c r="CX24" s="133"/>
      <c r="CY24" s="133"/>
    </row>
    <row r="25" spans="1:103" ht="15" x14ac:dyDescent="0.2">
      <c r="A25" s="240">
        <v>19</v>
      </c>
      <c r="B25" s="290" t="s">
        <v>229</v>
      </c>
      <c r="C25" s="148" t="s">
        <v>257</v>
      </c>
      <c r="D25" s="148" t="s">
        <v>230</v>
      </c>
      <c r="E25" s="135" t="s">
        <v>208</v>
      </c>
      <c r="F25" s="135" t="s">
        <v>45</v>
      </c>
      <c r="G25" s="148" t="s">
        <v>256</v>
      </c>
      <c r="H25" s="148"/>
      <c r="I25" s="148" t="s">
        <v>94</v>
      </c>
      <c r="J25" s="148"/>
      <c r="K25" s="148"/>
      <c r="L25" s="148"/>
      <c r="M25" s="148"/>
      <c r="N25" s="148"/>
      <c r="O25" s="135"/>
      <c r="P25" s="135" t="s">
        <v>203</v>
      </c>
      <c r="Q25" s="254" t="str">
        <f t="shared" si="0"/>
        <v>0x63</v>
      </c>
      <c r="R25" s="255" t="str">
        <f t="shared" si="1"/>
        <v>0x7B</v>
      </c>
      <c r="S25" s="255" t="str">
        <f t="shared" si="8"/>
        <v>0x46</v>
      </c>
      <c r="T25" s="255" t="str">
        <f t="shared" si="2"/>
        <v>0x08</v>
      </c>
      <c r="U25" s="255" t="str">
        <f t="shared" si="3"/>
        <v>0x00</v>
      </c>
      <c r="V25" s="256" t="str">
        <f t="shared" si="4"/>
        <v>0xFF</v>
      </c>
      <c r="W25" s="40">
        <v>0</v>
      </c>
      <c r="X25" s="39">
        <v>1</v>
      </c>
      <c r="Y25" s="39">
        <v>1</v>
      </c>
      <c r="Z25" s="39">
        <v>0</v>
      </c>
      <c r="AA25" s="39">
        <v>0</v>
      </c>
      <c r="AB25" s="5">
        <v>0</v>
      </c>
      <c r="AC25" s="5">
        <v>1</v>
      </c>
      <c r="AD25" s="41">
        <v>1</v>
      </c>
      <c r="AE25" s="6">
        <v>0</v>
      </c>
      <c r="AF25" s="5">
        <v>1</v>
      </c>
      <c r="AG25" s="40">
        <v>1</v>
      </c>
      <c r="AH25" s="40">
        <v>1</v>
      </c>
      <c r="AI25" s="39">
        <v>1</v>
      </c>
      <c r="AJ25" s="39">
        <v>0</v>
      </c>
      <c r="AK25" s="39">
        <v>1</v>
      </c>
      <c r="AL25" s="41">
        <v>1</v>
      </c>
      <c r="AM25" s="42">
        <v>0</v>
      </c>
      <c r="AN25" s="5">
        <v>1</v>
      </c>
      <c r="AO25" s="257">
        <v>0</v>
      </c>
      <c r="AP25" s="5">
        <v>0</v>
      </c>
      <c r="AQ25" s="5">
        <v>0</v>
      </c>
      <c r="AR25" s="5">
        <v>1</v>
      </c>
      <c r="AS25" s="5">
        <v>1</v>
      </c>
      <c r="AT25" s="41">
        <v>0</v>
      </c>
      <c r="AU25" s="6">
        <v>0</v>
      </c>
      <c r="AV25" s="5">
        <v>0</v>
      </c>
      <c r="AW25" s="5">
        <v>0</v>
      </c>
      <c r="AX25" s="5">
        <v>0</v>
      </c>
      <c r="AY25" s="5">
        <v>1</v>
      </c>
      <c r="AZ25" s="5">
        <v>0</v>
      </c>
      <c r="BA25" s="5">
        <v>0</v>
      </c>
      <c r="BB25" s="43">
        <v>0</v>
      </c>
      <c r="BC25" s="42">
        <v>0</v>
      </c>
      <c r="BD25" s="44">
        <v>0</v>
      </c>
      <c r="BE25" s="44">
        <v>0</v>
      </c>
      <c r="BF25" s="44">
        <v>0</v>
      </c>
      <c r="BG25" s="45">
        <v>0</v>
      </c>
      <c r="BH25" s="44">
        <v>0</v>
      </c>
      <c r="BI25" s="44">
        <v>0</v>
      </c>
      <c r="BJ25" s="43">
        <v>0</v>
      </c>
      <c r="BK25" s="46">
        <v>1</v>
      </c>
      <c r="BL25" s="47">
        <v>1</v>
      </c>
      <c r="BM25" s="47">
        <v>1</v>
      </c>
      <c r="BN25" s="47">
        <v>1</v>
      </c>
      <c r="BO25" s="47">
        <v>1</v>
      </c>
      <c r="BP25" s="47">
        <v>1</v>
      </c>
      <c r="BQ25" s="48">
        <v>1</v>
      </c>
      <c r="BR25" s="49">
        <v>1</v>
      </c>
      <c r="BS25" s="50"/>
      <c r="BT25" s="51" t="str">
        <f t="shared" si="5"/>
        <v>0x21</v>
      </c>
      <c r="BU25" s="51" t="str">
        <f t="shared" si="6"/>
        <v>0x0</v>
      </c>
      <c r="BV25" s="52" t="str">
        <f t="shared" si="7"/>
        <v>0x0</v>
      </c>
      <c r="BW25" s="44">
        <v>0</v>
      </c>
      <c r="BX25" s="40">
        <v>0</v>
      </c>
      <c r="BY25" s="40">
        <v>1</v>
      </c>
      <c r="BZ25" s="40">
        <v>0</v>
      </c>
      <c r="CA25" s="53">
        <v>0</v>
      </c>
      <c r="CB25" s="53">
        <v>0</v>
      </c>
      <c r="CC25" s="53">
        <v>0</v>
      </c>
      <c r="CD25" s="54">
        <v>1</v>
      </c>
      <c r="CE25" s="55">
        <v>0</v>
      </c>
      <c r="CF25" s="56">
        <v>0</v>
      </c>
      <c r="CG25" s="56">
        <v>0</v>
      </c>
      <c r="CH25" s="40">
        <v>0</v>
      </c>
      <c r="CI25" s="40">
        <v>0</v>
      </c>
      <c r="CJ25" s="40">
        <v>0</v>
      </c>
      <c r="CK25" s="40">
        <v>0</v>
      </c>
      <c r="CL25" s="57">
        <v>0</v>
      </c>
      <c r="CM25" s="42">
        <v>0</v>
      </c>
      <c r="CN25" s="44">
        <v>0</v>
      </c>
      <c r="CO25" s="44">
        <v>0</v>
      </c>
      <c r="CP25" s="44">
        <v>0</v>
      </c>
      <c r="CQ25" s="44">
        <v>0</v>
      </c>
      <c r="CR25" s="44">
        <v>0</v>
      </c>
      <c r="CS25" s="44">
        <v>0</v>
      </c>
      <c r="CT25" s="43">
        <v>0</v>
      </c>
      <c r="CU25" s="8"/>
      <c r="CV25" s="132" t="s">
        <v>94</v>
      </c>
      <c r="CW25" s="132"/>
      <c r="CX25" s="133"/>
      <c r="CY25" s="133"/>
    </row>
    <row r="26" spans="1:103" ht="15" x14ac:dyDescent="0.2">
      <c r="A26" s="240">
        <v>20</v>
      </c>
      <c r="B26" s="290" t="s">
        <v>231</v>
      </c>
      <c r="C26" s="148" t="s">
        <v>257</v>
      </c>
      <c r="D26" s="148" t="s">
        <v>207</v>
      </c>
      <c r="E26" s="135" t="s">
        <v>212</v>
      </c>
      <c r="F26" s="135" t="s">
        <v>263</v>
      </c>
      <c r="G26" s="148" t="s">
        <v>309</v>
      </c>
      <c r="H26" s="148"/>
      <c r="I26" s="148"/>
      <c r="J26" s="148"/>
      <c r="K26" s="148" t="s">
        <v>209</v>
      </c>
      <c r="L26" s="148" t="s">
        <v>94</v>
      </c>
      <c r="M26" s="148" t="s">
        <v>266</v>
      </c>
      <c r="N26" s="148"/>
      <c r="O26" s="135" t="s">
        <v>210</v>
      </c>
      <c r="P26" s="135" t="s">
        <v>204</v>
      </c>
      <c r="Q26" s="36" t="str">
        <f t="shared" si="0"/>
        <v>0x11</v>
      </c>
      <c r="R26" s="37" t="str">
        <f t="shared" si="1"/>
        <v>0x7B</v>
      </c>
      <c r="S26" s="37" t="str">
        <f t="shared" si="8"/>
        <v>0x77</v>
      </c>
      <c r="T26" s="37" t="str">
        <f t="shared" si="2"/>
        <v>0x1B</v>
      </c>
      <c r="U26" s="37" t="str">
        <f t="shared" si="3"/>
        <v>0x00</v>
      </c>
      <c r="V26" s="38" t="str">
        <f t="shared" si="4"/>
        <v>0xFF</v>
      </c>
      <c r="W26" s="40">
        <v>0</v>
      </c>
      <c r="X26" s="39">
        <v>0</v>
      </c>
      <c r="Y26" s="39">
        <v>0</v>
      </c>
      <c r="Z26" s="39">
        <v>1</v>
      </c>
      <c r="AA26" s="39">
        <v>0</v>
      </c>
      <c r="AB26" s="5">
        <v>0</v>
      </c>
      <c r="AC26" s="5">
        <v>0</v>
      </c>
      <c r="AD26" s="41">
        <v>1</v>
      </c>
      <c r="AE26" s="6">
        <v>0</v>
      </c>
      <c r="AF26" s="5">
        <v>1</v>
      </c>
      <c r="AG26" s="40">
        <v>1</v>
      </c>
      <c r="AH26" s="40">
        <v>1</v>
      </c>
      <c r="AI26" s="39">
        <v>1</v>
      </c>
      <c r="AJ26" s="39">
        <v>0</v>
      </c>
      <c r="AK26" s="39">
        <v>1</v>
      </c>
      <c r="AL26" s="41">
        <v>1</v>
      </c>
      <c r="AM26" s="42">
        <v>0</v>
      </c>
      <c r="AN26" s="4">
        <v>1</v>
      </c>
      <c r="AO26" s="7">
        <v>1</v>
      </c>
      <c r="AP26" s="295">
        <v>1</v>
      </c>
      <c r="AQ26" s="5">
        <v>0</v>
      </c>
      <c r="AR26" s="5">
        <v>1</v>
      </c>
      <c r="AS26" s="5">
        <v>1</v>
      </c>
      <c r="AT26" s="41">
        <v>1</v>
      </c>
      <c r="AU26" s="6">
        <v>0</v>
      </c>
      <c r="AV26" s="5">
        <v>0</v>
      </c>
      <c r="AW26" s="4">
        <v>0</v>
      </c>
      <c r="AX26" s="4">
        <v>1</v>
      </c>
      <c r="AY26" s="4">
        <v>1</v>
      </c>
      <c r="AZ26" s="4">
        <v>0</v>
      </c>
      <c r="BA26" s="4">
        <v>1</v>
      </c>
      <c r="BB26" s="43">
        <v>1</v>
      </c>
      <c r="BC26" s="42">
        <v>0</v>
      </c>
      <c r="BD26" s="44">
        <v>0</v>
      </c>
      <c r="BE26" s="44">
        <v>0</v>
      </c>
      <c r="BF26" s="44">
        <v>0</v>
      </c>
      <c r="BG26" s="45">
        <v>0</v>
      </c>
      <c r="BH26" s="44">
        <v>0</v>
      </c>
      <c r="BI26" s="44">
        <v>0</v>
      </c>
      <c r="BJ26" s="43">
        <v>0</v>
      </c>
      <c r="BK26" s="46">
        <v>1</v>
      </c>
      <c r="BL26" s="47">
        <v>1</v>
      </c>
      <c r="BM26" s="47">
        <v>1</v>
      </c>
      <c r="BN26" s="47">
        <v>1</v>
      </c>
      <c r="BO26" s="47">
        <v>1</v>
      </c>
      <c r="BP26" s="47">
        <v>1</v>
      </c>
      <c r="BQ26" s="48">
        <v>1</v>
      </c>
      <c r="BR26" s="49">
        <v>1</v>
      </c>
      <c r="BS26" s="50"/>
      <c r="BT26" s="51" t="str">
        <f t="shared" si="5"/>
        <v>0x21</v>
      </c>
      <c r="BU26" s="51" t="str">
        <f t="shared" si="6"/>
        <v>0x0</v>
      </c>
      <c r="BV26" s="52" t="str">
        <f t="shared" si="7"/>
        <v>0x0</v>
      </c>
      <c r="BW26" s="44">
        <v>0</v>
      </c>
      <c r="BX26" s="40">
        <v>0</v>
      </c>
      <c r="BY26" s="40">
        <v>1</v>
      </c>
      <c r="BZ26" s="40">
        <v>0</v>
      </c>
      <c r="CA26" s="53">
        <v>0</v>
      </c>
      <c r="CB26" s="53">
        <v>0</v>
      </c>
      <c r="CC26" s="53">
        <v>0</v>
      </c>
      <c r="CD26" s="54">
        <v>1</v>
      </c>
      <c r="CE26" s="55">
        <v>0</v>
      </c>
      <c r="CF26" s="56">
        <v>0</v>
      </c>
      <c r="CG26" s="56">
        <v>0</v>
      </c>
      <c r="CH26" s="40">
        <v>0</v>
      </c>
      <c r="CI26" s="40">
        <v>0</v>
      </c>
      <c r="CJ26" s="40">
        <v>0</v>
      </c>
      <c r="CK26" s="40">
        <v>0</v>
      </c>
      <c r="CL26" s="57">
        <v>0</v>
      </c>
      <c r="CM26" s="42">
        <v>0</v>
      </c>
      <c r="CN26" s="44">
        <v>0</v>
      </c>
      <c r="CO26" s="44">
        <v>0</v>
      </c>
      <c r="CP26" s="44">
        <v>0</v>
      </c>
      <c r="CQ26" s="44">
        <v>0</v>
      </c>
      <c r="CR26" s="44">
        <v>0</v>
      </c>
      <c r="CS26" s="44">
        <v>0</v>
      </c>
      <c r="CT26" s="43">
        <v>0</v>
      </c>
      <c r="CU26" s="8"/>
      <c r="CV26" s="132" t="s">
        <v>94</v>
      </c>
      <c r="CW26" s="132" t="s">
        <v>94</v>
      </c>
      <c r="CX26" s="133" t="s">
        <v>94</v>
      </c>
      <c r="CY26" s="133"/>
    </row>
    <row r="27" spans="1:103" ht="15" x14ac:dyDescent="0.2">
      <c r="A27" s="240">
        <v>21</v>
      </c>
      <c r="B27" s="290" t="s">
        <v>232</v>
      </c>
      <c r="C27" s="148" t="s">
        <v>257</v>
      </c>
      <c r="D27" s="148" t="s">
        <v>216</v>
      </c>
      <c r="E27" s="135" t="s">
        <v>208</v>
      </c>
      <c r="F27" s="135" t="s">
        <v>263</v>
      </c>
      <c r="G27" s="148" t="s">
        <v>309</v>
      </c>
      <c r="H27" s="148"/>
      <c r="I27" s="148"/>
      <c r="J27" s="148"/>
      <c r="K27" s="148" t="s">
        <v>217</v>
      </c>
      <c r="L27" s="148"/>
      <c r="M27" s="148" t="s">
        <v>266</v>
      </c>
      <c r="N27" s="148"/>
      <c r="O27" s="135" t="s">
        <v>210</v>
      </c>
      <c r="P27" s="135" t="s">
        <v>204</v>
      </c>
      <c r="Q27" s="36" t="str">
        <f t="shared" si="0"/>
        <v>0x51</v>
      </c>
      <c r="R27" s="37" t="str">
        <f t="shared" si="1"/>
        <v>0x6B</v>
      </c>
      <c r="S27" s="37" t="str">
        <f t="shared" si="8"/>
        <v>0x76</v>
      </c>
      <c r="T27" s="37" t="str">
        <f t="shared" si="2"/>
        <v>0x17</v>
      </c>
      <c r="U27" s="37" t="str">
        <f t="shared" si="3"/>
        <v>0x00</v>
      </c>
      <c r="V27" s="38" t="str">
        <f t="shared" si="4"/>
        <v>0xFF</v>
      </c>
      <c r="W27" s="40">
        <v>0</v>
      </c>
      <c r="X27" s="39">
        <v>1</v>
      </c>
      <c r="Y27" s="39">
        <v>0</v>
      </c>
      <c r="Z27" s="39">
        <v>1</v>
      </c>
      <c r="AA27" s="39">
        <v>0</v>
      </c>
      <c r="AB27" s="5">
        <v>0</v>
      </c>
      <c r="AC27" s="5">
        <v>0</v>
      </c>
      <c r="AD27" s="41">
        <v>1</v>
      </c>
      <c r="AE27" s="6">
        <v>0</v>
      </c>
      <c r="AF27" s="5">
        <v>1</v>
      </c>
      <c r="AG27" s="40">
        <v>1</v>
      </c>
      <c r="AH27" s="40">
        <v>0</v>
      </c>
      <c r="AI27" s="39">
        <v>1</v>
      </c>
      <c r="AJ27" s="39">
        <v>0</v>
      </c>
      <c r="AK27" s="39">
        <v>1</v>
      </c>
      <c r="AL27" s="41">
        <v>1</v>
      </c>
      <c r="AM27" s="42">
        <v>0</v>
      </c>
      <c r="AN27" s="4">
        <v>1</v>
      </c>
      <c r="AO27" s="7">
        <v>1</v>
      </c>
      <c r="AP27" s="295">
        <v>1</v>
      </c>
      <c r="AQ27" s="5">
        <v>0</v>
      </c>
      <c r="AR27" s="5">
        <v>1</v>
      </c>
      <c r="AS27" s="5">
        <v>1</v>
      </c>
      <c r="AT27" s="41">
        <v>0</v>
      </c>
      <c r="AU27" s="6">
        <v>0</v>
      </c>
      <c r="AV27" s="5">
        <v>0</v>
      </c>
      <c r="AW27" s="4">
        <v>0</v>
      </c>
      <c r="AX27" s="4">
        <v>1</v>
      </c>
      <c r="AY27" s="4">
        <v>0</v>
      </c>
      <c r="AZ27" s="4">
        <v>1</v>
      </c>
      <c r="BA27" s="4">
        <v>1</v>
      </c>
      <c r="BB27" s="43">
        <v>1</v>
      </c>
      <c r="BC27" s="42">
        <v>0</v>
      </c>
      <c r="BD27" s="44">
        <v>0</v>
      </c>
      <c r="BE27" s="44">
        <v>0</v>
      </c>
      <c r="BF27" s="44">
        <v>0</v>
      </c>
      <c r="BG27" s="45">
        <v>0</v>
      </c>
      <c r="BH27" s="44">
        <v>0</v>
      </c>
      <c r="BI27" s="44">
        <v>0</v>
      </c>
      <c r="BJ27" s="43">
        <v>0</v>
      </c>
      <c r="BK27" s="46">
        <v>1</v>
      </c>
      <c r="BL27" s="47">
        <v>1</v>
      </c>
      <c r="BM27" s="47">
        <v>1</v>
      </c>
      <c r="BN27" s="47">
        <v>1</v>
      </c>
      <c r="BO27" s="47">
        <v>1</v>
      </c>
      <c r="BP27" s="47">
        <v>1</v>
      </c>
      <c r="BQ27" s="48">
        <v>1</v>
      </c>
      <c r="BR27" s="49">
        <v>1</v>
      </c>
      <c r="BS27" s="50"/>
      <c r="BT27" s="51" t="str">
        <f t="shared" si="5"/>
        <v>0x21</v>
      </c>
      <c r="BU27" s="51" t="str">
        <f t="shared" si="6"/>
        <v>0x0</v>
      </c>
      <c r="BV27" s="52" t="str">
        <f t="shared" si="7"/>
        <v>0x0</v>
      </c>
      <c r="BW27" s="44">
        <v>0</v>
      </c>
      <c r="BX27" s="40">
        <v>0</v>
      </c>
      <c r="BY27" s="40">
        <v>1</v>
      </c>
      <c r="BZ27" s="40">
        <v>0</v>
      </c>
      <c r="CA27" s="53">
        <v>0</v>
      </c>
      <c r="CB27" s="53">
        <v>0</v>
      </c>
      <c r="CC27" s="53">
        <v>0</v>
      </c>
      <c r="CD27" s="54">
        <v>1</v>
      </c>
      <c r="CE27" s="55">
        <v>0</v>
      </c>
      <c r="CF27" s="56">
        <v>0</v>
      </c>
      <c r="CG27" s="56">
        <v>0</v>
      </c>
      <c r="CH27" s="40">
        <v>0</v>
      </c>
      <c r="CI27" s="40">
        <v>0</v>
      </c>
      <c r="CJ27" s="40">
        <v>0</v>
      </c>
      <c r="CK27" s="40">
        <v>0</v>
      </c>
      <c r="CL27" s="57">
        <v>0</v>
      </c>
      <c r="CM27" s="42">
        <v>0</v>
      </c>
      <c r="CN27" s="44">
        <v>0</v>
      </c>
      <c r="CO27" s="44">
        <v>0</v>
      </c>
      <c r="CP27" s="44">
        <v>0</v>
      </c>
      <c r="CQ27" s="44">
        <v>0</v>
      </c>
      <c r="CR27" s="44">
        <v>0</v>
      </c>
      <c r="CS27" s="44">
        <v>0</v>
      </c>
      <c r="CT27" s="43">
        <v>0</v>
      </c>
      <c r="CU27" s="8"/>
      <c r="CV27" s="132" t="s">
        <v>94</v>
      </c>
      <c r="CW27" s="132"/>
      <c r="CX27" s="133" t="s">
        <v>94</v>
      </c>
      <c r="CY27" s="133"/>
    </row>
    <row r="28" spans="1:103" ht="15" x14ac:dyDescent="0.2">
      <c r="A28" s="240">
        <v>22</v>
      </c>
      <c r="B28" s="290" t="s">
        <v>693</v>
      </c>
      <c r="C28" s="148" t="s">
        <v>257</v>
      </c>
      <c r="D28" s="148" t="s">
        <v>216</v>
      </c>
      <c r="E28" s="135" t="s">
        <v>208</v>
      </c>
      <c r="F28" s="135" t="s">
        <v>263</v>
      </c>
      <c r="G28" s="148" t="s">
        <v>309</v>
      </c>
      <c r="H28" s="148"/>
      <c r="I28" s="148"/>
      <c r="J28" s="148"/>
      <c r="K28" s="148" t="s">
        <v>217</v>
      </c>
      <c r="L28" s="148"/>
      <c r="M28" s="148" t="s">
        <v>266</v>
      </c>
      <c r="N28" s="148"/>
      <c r="O28" s="135" t="s">
        <v>210</v>
      </c>
      <c r="P28" s="135" t="s">
        <v>204</v>
      </c>
      <c r="Q28" s="36" t="str">
        <f t="shared" ref="Q28" si="36">CONCATENATE("0x",DEC2HEX(AD28*1+AC28*2+AB28*4+AA28*8+Z28*16+Y28*32+X28*64+W28*128,2))</f>
        <v>0x51</v>
      </c>
      <c r="R28" s="37" t="str">
        <f t="shared" ref="R28" si="37">CONCATENATE("0x",DEC2HEX(AL28*1+AK28*2+AJ28*4+AI28*8+AH28*16+AG28*32+AF28*64+AE28*128,2))</f>
        <v>0x6B</v>
      </c>
      <c r="S28" s="37" t="str">
        <f t="shared" ref="S28" si="38">CONCATENATE("0x",DEC2HEX(AT28*1+AS28*2+AR28*4+AQ28*8+AP28*16+AO28*32+AN28*64+AM28*128,2))</f>
        <v>0x76</v>
      </c>
      <c r="T28" s="37" t="str">
        <f t="shared" ref="T28" si="39">CONCATENATE("0x",DEC2HEX(BB28*1+BA28*2+AZ28*4+AY28*8+AX28*16+AW28*32+AV28*64+AU28*128,2))</f>
        <v>0x17</v>
      </c>
      <c r="U28" s="37" t="str">
        <f t="shared" ref="U28" si="40">CONCATENATE("0x",DEC2HEX(BJ28*1+BI28*2+BH28*4+BG28*8+BF28*16+BE28*32+BD28*64+BC28*128,2))</f>
        <v>0x00</v>
      </c>
      <c r="V28" s="38" t="str">
        <f t="shared" ref="V28" si="41">CONCATENATE("0x",DEC2HEX(BR28*1+BQ28*2+BP28*4+BO28*8+BN28*16+BM28*32+BL28*64+BK28*128,2))</f>
        <v>0xFF</v>
      </c>
      <c r="W28" s="40">
        <v>0</v>
      </c>
      <c r="X28" s="39">
        <v>1</v>
      </c>
      <c r="Y28" s="39">
        <v>0</v>
      </c>
      <c r="Z28" s="39">
        <v>1</v>
      </c>
      <c r="AA28" s="39">
        <v>0</v>
      </c>
      <c r="AB28" s="5">
        <v>0</v>
      </c>
      <c r="AC28" s="5">
        <v>0</v>
      </c>
      <c r="AD28" s="41">
        <v>1</v>
      </c>
      <c r="AE28" s="6">
        <v>0</v>
      </c>
      <c r="AF28" s="5">
        <v>1</v>
      </c>
      <c r="AG28" s="40">
        <v>1</v>
      </c>
      <c r="AH28" s="40">
        <v>0</v>
      </c>
      <c r="AI28" s="39">
        <v>1</v>
      </c>
      <c r="AJ28" s="39">
        <v>0</v>
      </c>
      <c r="AK28" s="39">
        <v>1</v>
      </c>
      <c r="AL28" s="41">
        <v>1</v>
      </c>
      <c r="AM28" s="42">
        <v>0</v>
      </c>
      <c r="AN28" s="4">
        <v>1</v>
      </c>
      <c r="AO28" s="7">
        <v>1</v>
      </c>
      <c r="AP28" s="295">
        <v>1</v>
      </c>
      <c r="AQ28" s="5">
        <v>0</v>
      </c>
      <c r="AR28" s="5">
        <v>1</v>
      </c>
      <c r="AS28" s="5">
        <v>1</v>
      </c>
      <c r="AT28" s="41">
        <v>0</v>
      </c>
      <c r="AU28" s="6">
        <v>0</v>
      </c>
      <c r="AV28" s="5">
        <v>0</v>
      </c>
      <c r="AW28" s="4">
        <v>0</v>
      </c>
      <c r="AX28" s="4">
        <v>1</v>
      </c>
      <c r="AY28" s="4">
        <v>0</v>
      </c>
      <c r="AZ28" s="4">
        <v>1</v>
      </c>
      <c r="BA28" s="4">
        <v>1</v>
      </c>
      <c r="BB28" s="43">
        <v>1</v>
      </c>
      <c r="BC28" s="42">
        <v>0</v>
      </c>
      <c r="BD28" s="44">
        <v>0</v>
      </c>
      <c r="BE28" s="44">
        <v>0</v>
      </c>
      <c r="BF28" s="44">
        <v>0</v>
      </c>
      <c r="BG28" s="45">
        <v>0</v>
      </c>
      <c r="BH28" s="44">
        <v>0</v>
      </c>
      <c r="BI28" s="44">
        <v>0</v>
      </c>
      <c r="BJ28" s="43">
        <v>0</v>
      </c>
      <c r="BK28" s="46">
        <v>1</v>
      </c>
      <c r="BL28" s="47">
        <v>1</v>
      </c>
      <c r="BM28" s="47">
        <v>1</v>
      </c>
      <c r="BN28" s="47">
        <v>1</v>
      </c>
      <c r="BO28" s="47">
        <v>1</v>
      </c>
      <c r="BP28" s="47">
        <v>1</v>
      </c>
      <c r="BQ28" s="48">
        <v>1</v>
      </c>
      <c r="BR28" s="49">
        <v>1</v>
      </c>
      <c r="BS28" s="50"/>
      <c r="BT28" s="51" t="str">
        <f t="shared" ref="BT28" si="42">CONCATENATE("0x",DEC2HEX(CD28*1+CC28*2+CB28*4+CA28*8+BZ28*16+BY28*32+BX28*64+BW28*128))</f>
        <v>0x21</v>
      </c>
      <c r="BU28" s="51" t="str">
        <f t="shared" ref="BU28" si="43">CONCATENATE("0x",DEC2HEX(CL28*1+CK28*2+CJ28*4+CI28*8+CH28*16+CG28*32+CF28*64+CE28*128))</f>
        <v>0x0</v>
      </c>
      <c r="BV28" s="52" t="str">
        <f t="shared" ref="BV28" si="44">CONCATENATE("0x",DEC2HEX(CT28*1+CS28*2+CR28*4+CQ28*8+CP28*16+CO28*32+CN28*64+CM28*128))</f>
        <v>0x0</v>
      </c>
      <c r="BW28" s="44">
        <v>0</v>
      </c>
      <c r="BX28" s="40">
        <v>0</v>
      </c>
      <c r="BY28" s="40">
        <v>1</v>
      </c>
      <c r="BZ28" s="40">
        <v>0</v>
      </c>
      <c r="CA28" s="53">
        <v>0</v>
      </c>
      <c r="CB28" s="53">
        <v>0</v>
      </c>
      <c r="CC28" s="53">
        <v>0</v>
      </c>
      <c r="CD28" s="54">
        <v>1</v>
      </c>
      <c r="CE28" s="55">
        <v>0</v>
      </c>
      <c r="CF28" s="56">
        <v>0</v>
      </c>
      <c r="CG28" s="56">
        <v>0</v>
      </c>
      <c r="CH28" s="40">
        <v>0</v>
      </c>
      <c r="CI28" s="40">
        <v>0</v>
      </c>
      <c r="CJ28" s="40">
        <v>0</v>
      </c>
      <c r="CK28" s="40">
        <v>0</v>
      </c>
      <c r="CL28" s="57">
        <v>0</v>
      </c>
      <c r="CM28" s="42">
        <v>0</v>
      </c>
      <c r="CN28" s="44">
        <v>0</v>
      </c>
      <c r="CO28" s="44">
        <v>0</v>
      </c>
      <c r="CP28" s="44">
        <v>0</v>
      </c>
      <c r="CQ28" s="44">
        <v>0</v>
      </c>
      <c r="CR28" s="44">
        <v>0</v>
      </c>
      <c r="CS28" s="44">
        <v>0</v>
      </c>
      <c r="CT28" s="43">
        <v>0</v>
      </c>
      <c r="CU28" s="8"/>
      <c r="CV28" s="132" t="s">
        <v>94</v>
      </c>
      <c r="CW28" s="132"/>
      <c r="CX28" s="133" t="s">
        <v>94</v>
      </c>
      <c r="CY28" s="133"/>
    </row>
    <row r="29" spans="1:103" ht="15" x14ac:dyDescent="0.2">
      <c r="A29" s="240">
        <v>23</v>
      </c>
      <c r="B29" s="290" t="s">
        <v>233</v>
      </c>
      <c r="C29" s="148" t="s">
        <v>257</v>
      </c>
      <c r="D29" s="148" t="s">
        <v>230</v>
      </c>
      <c r="E29" s="135" t="s">
        <v>234</v>
      </c>
      <c r="F29" s="135" t="s">
        <v>264</v>
      </c>
      <c r="G29" s="161" t="s">
        <v>185</v>
      </c>
      <c r="H29" s="148"/>
      <c r="I29" s="148"/>
      <c r="J29" s="148"/>
      <c r="K29" s="148"/>
      <c r="L29" s="148"/>
      <c r="M29" s="148"/>
      <c r="N29" s="148"/>
      <c r="O29" s="135" t="s">
        <v>235</v>
      </c>
      <c r="P29" s="135" t="s">
        <v>205</v>
      </c>
      <c r="Q29" s="36" t="str">
        <f t="shared" si="0"/>
        <v>0x07</v>
      </c>
      <c r="R29" s="37" t="str">
        <f t="shared" si="1"/>
        <v>0x6B</v>
      </c>
      <c r="S29" s="37" t="str">
        <f t="shared" si="8"/>
        <v>0x56</v>
      </c>
      <c r="T29" s="37" t="str">
        <f t="shared" si="2"/>
        <v>0x06</v>
      </c>
      <c r="U29" s="37" t="str">
        <f t="shared" si="3"/>
        <v>0x00</v>
      </c>
      <c r="V29" s="38" t="str">
        <f t="shared" si="4"/>
        <v>0x02</v>
      </c>
      <c r="W29" s="40">
        <v>0</v>
      </c>
      <c r="X29" s="39">
        <v>0</v>
      </c>
      <c r="Y29" s="39">
        <v>0</v>
      </c>
      <c r="Z29" s="39">
        <v>0</v>
      </c>
      <c r="AA29" s="39">
        <v>0</v>
      </c>
      <c r="AB29" s="5">
        <v>1</v>
      </c>
      <c r="AC29" s="5">
        <v>1</v>
      </c>
      <c r="AD29" s="41">
        <v>1</v>
      </c>
      <c r="AE29" s="6">
        <v>0</v>
      </c>
      <c r="AF29" s="5">
        <v>1</v>
      </c>
      <c r="AG29" s="40">
        <v>1</v>
      </c>
      <c r="AH29" s="40">
        <v>0</v>
      </c>
      <c r="AI29" s="39">
        <v>1</v>
      </c>
      <c r="AJ29" s="39">
        <v>0</v>
      </c>
      <c r="AK29" s="39">
        <v>1</v>
      </c>
      <c r="AL29" s="41">
        <v>1</v>
      </c>
      <c r="AM29" s="42">
        <v>0</v>
      </c>
      <c r="AN29" s="4">
        <v>1</v>
      </c>
      <c r="AO29" s="7">
        <v>0</v>
      </c>
      <c r="AP29" s="295">
        <v>1</v>
      </c>
      <c r="AQ29" s="5">
        <v>0</v>
      </c>
      <c r="AR29" s="5">
        <v>1</v>
      </c>
      <c r="AS29" s="5">
        <v>1</v>
      </c>
      <c r="AT29" s="41">
        <v>0</v>
      </c>
      <c r="AU29" s="6">
        <v>0</v>
      </c>
      <c r="AV29" s="5">
        <v>0</v>
      </c>
      <c r="AW29" s="4">
        <v>0</v>
      </c>
      <c r="AX29" s="4">
        <v>0</v>
      </c>
      <c r="AY29" s="4">
        <v>0</v>
      </c>
      <c r="AZ29" s="4">
        <v>1</v>
      </c>
      <c r="BA29" s="4">
        <v>1</v>
      </c>
      <c r="BB29" s="43">
        <v>0</v>
      </c>
      <c r="BC29" s="42">
        <v>0</v>
      </c>
      <c r="BD29" s="44">
        <v>0</v>
      </c>
      <c r="BE29" s="44">
        <v>0</v>
      </c>
      <c r="BF29" s="44">
        <v>0</v>
      </c>
      <c r="BG29" s="45">
        <v>0</v>
      </c>
      <c r="BH29" s="44">
        <v>0</v>
      </c>
      <c r="BI29" s="44">
        <v>0</v>
      </c>
      <c r="BJ29" s="43">
        <v>0</v>
      </c>
      <c r="BK29" s="46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8">
        <v>1</v>
      </c>
      <c r="BR29" s="49">
        <v>0</v>
      </c>
      <c r="BS29" s="50"/>
      <c r="BT29" s="51" t="str">
        <f t="shared" si="5"/>
        <v>0x21</v>
      </c>
      <c r="BU29" s="51" t="str">
        <f t="shared" si="6"/>
        <v>0x0</v>
      </c>
      <c r="BV29" s="52" t="str">
        <f t="shared" si="7"/>
        <v>0x0</v>
      </c>
      <c r="BW29" s="44">
        <v>0</v>
      </c>
      <c r="BX29" s="40">
        <v>0</v>
      </c>
      <c r="BY29" s="40">
        <v>1</v>
      </c>
      <c r="BZ29" s="40">
        <v>0</v>
      </c>
      <c r="CA29" s="53">
        <v>0</v>
      </c>
      <c r="CB29" s="53">
        <v>0</v>
      </c>
      <c r="CC29" s="53">
        <v>0</v>
      </c>
      <c r="CD29" s="54">
        <v>1</v>
      </c>
      <c r="CE29" s="55">
        <v>0</v>
      </c>
      <c r="CF29" s="56">
        <v>0</v>
      </c>
      <c r="CG29" s="56">
        <v>0</v>
      </c>
      <c r="CH29" s="40">
        <v>0</v>
      </c>
      <c r="CI29" s="40">
        <v>0</v>
      </c>
      <c r="CJ29" s="40">
        <v>0</v>
      </c>
      <c r="CK29" s="40">
        <v>0</v>
      </c>
      <c r="CL29" s="57">
        <v>0</v>
      </c>
      <c r="CM29" s="42">
        <v>0</v>
      </c>
      <c r="CN29" s="44">
        <v>0</v>
      </c>
      <c r="CO29" s="44">
        <v>0</v>
      </c>
      <c r="CP29" s="44">
        <v>0</v>
      </c>
      <c r="CQ29" s="44">
        <v>0</v>
      </c>
      <c r="CR29" s="44">
        <v>0</v>
      </c>
      <c r="CS29" s="44">
        <v>0</v>
      </c>
      <c r="CT29" s="43">
        <v>0</v>
      </c>
      <c r="CU29" s="8"/>
      <c r="CV29" s="132" t="s">
        <v>94</v>
      </c>
      <c r="CW29" s="132"/>
      <c r="CX29" s="133"/>
      <c r="CY29" s="133"/>
    </row>
    <row r="30" spans="1:103" ht="15" x14ac:dyDescent="0.2">
      <c r="A30" s="240">
        <v>24</v>
      </c>
      <c r="B30" s="290" t="s">
        <v>236</v>
      </c>
      <c r="C30" s="148" t="s">
        <v>257</v>
      </c>
      <c r="D30" s="148" t="s">
        <v>207</v>
      </c>
      <c r="E30" s="135" t="s">
        <v>212</v>
      </c>
      <c r="F30" s="135" t="s">
        <v>45</v>
      </c>
      <c r="G30" s="148" t="s">
        <v>270</v>
      </c>
      <c r="H30" s="148"/>
      <c r="I30" s="148"/>
      <c r="J30" s="148" t="s">
        <v>94</v>
      </c>
      <c r="K30" s="148"/>
      <c r="L30" s="148" t="s">
        <v>94</v>
      </c>
      <c r="M30" s="148" t="s">
        <v>266</v>
      </c>
      <c r="N30" s="148" t="s">
        <v>94</v>
      </c>
      <c r="O30" s="135"/>
      <c r="P30" s="135" t="s">
        <v>203</v>
      </c>
      <c r="Q30" s="36" t="str">
        <f t="shared" si="0"/>
        <v>0x02</v>
      </c>
      <c r="R30" s="37" t="str">
        <f t="shared" si="1"/>
        <v>0x7B</v>
      </c>
      <c r="S30" s="37" t="str">
        <f t="shared" si="8"/>
        <v>0x67</v>
      </c>
      <c r="T30" s="37" t="str">
        <f t="shared" si="2"/>
        <v>0x0A</v>
      </c>
      <c r="U30" s="37" t="str">
        <f t="shared" si="3"/>
        <v>0x00</v>
      </c>
      <c r="V30" s="38" t="str">
        <f t="shared" si="4"/>
        <v>0xFF</v>
      </c>
      <c r="W30" s="40">
        <v>0</v>
      </c>
      <c r="X30" s="39">
        <v>0</v>
      </c>
      <c r="Y30" s="39">
        <v>0</v>
      </c>
      <c r="Z30" s="39">
        <v>0</v>
      </c>
      <c r="AA30" s="39">
        <v>0</v>
      </c>
      <c r="AB30" s="5">
        <v>0</v>
      </c>
      <c r="AC30" s="5">
        <v>1</v>
      </c>
      <c r="AD30" s="41">
        <v>0</v>
      </c>
      <c r="AE30" s="6">
        <v>0</v>
      </c>
      <c r="AF30" s="5">
        <v>1</v>
      </c>
      <c r="AG30" s="40">
        <v>1</v>
      </c>
      <c r="AH30" s="40">
        <v>1</v>
      </c>
      <c r="AI30" s="39">
        <v>1</v>
      </c>
      <c r="AJ30" s="39">
        <v>0</v>
      </c>
      <c r="AK30" s="39">
        <v>1</v>
      </c>
      <c r="AL30" s="41">
        <v>1</v>
      </c>
      <c r="AM30" s="42">
        <v>0</v>
      </c>
      <c r="AN30" s="4">
        <v>1</v>
      </c>
      <c r="AO30" s="7">
        <v>1</v>
      </c>
      <c r="AP30" s="4">
        <v>0</v>
      </c>
      <c r="AQ30" s="5">
        <v>0</v>
      </c>
      <c r="AR30" s="5">
        <v>1</v>
      </c>
      <c r="AS30" s="5">
        <v>1</v>
      </c>
      <c r="AT30" s="41">
        <v>1</v>
      </c>
      <c r="AU30" s="6">
        <v>0</v>
      </c>
      <c r="AV30" s="5">
        <v>0</v>
      </c>
      <c r="AW30" s="4">
        <v>0</v>
      </c>
      <c r="AX30" s="4">
        <v>0</v>
      </c>
      <c r="AY30" s="4">
        <v>1</v>
      </c>
      <c r="AZ30" s="4">
        <v>0</v>
      </c>
      <c r="BA30" s="4">
        <v>1</v>
      </c>
      <c r="BB30" s="43">
        <v>0</v>
      </c>
      <c r="BC30" s="42">
        <v>0</v>
      </c>
      <c r="BD30" s="44">
        <v>0</v>
      </c>
      <c r="BE30" s="44">
        <v>0</v>
      </c>
      <c r="BF30" s="44">
        <v>0</v>
      </c>
      <c r="BG30" s="45">
        <v>0</v>
      </c>
      <c r="BH30" s="44">
        <v>0</v>
      </c>
      <c r="BI30" s="44">
        <v>0</v>
      </c>
      <c r="BJ30" s="43">
        <v>0</v>
      </c>
      <c r="BK30" s="46">
        <v>1</v>
      </c>
      <c r="BL30" s="47">
        <v>1</v>
      </c>
      <c r="BM30" s="47">
        <v>1</v>
      </c>
      <c r="BN30" s="47">
        <v>1</v>
      </c>
      <c r="BO30" s="47">
        <v>1</v>
      </c>
      <c r="BP30" s="47">
        <v>1</v>
      </c>
      <c r="BQ30" s="48">
        <v>1</v>
      </c>
      <c r="BR30" s="49">
        <v>1</v>
      </c>
      <c r="BS30" s="50"/>
      <c r="BT30" s="51" t="str">
        <f t="shared" si="5"/>
        <v>0x21</v>
      </c>
      <c r="BU30" s="51" t="str">
        <f t="shared" si="6"/>
        <v>0x0</v>
      </c>
      <c r="BV30" s="52" t="str">
        <f t="shared" si="7"/>
        <v>0x0</v>
      </c>
      <c r="BW30" s="44">
        <v>0</v>
      </c>
      <c r="BX30" s="40">
        <v>0</v>
      </c>
      <c r="BY30" s="40">
        <v>1</v>
      </c>
      <c r="BZ30" s="40">
        <v>0</v>
      </c>
      <c r="CA30" s="53">
        <v>0</v>
      </c>
      <c r="CB30" s="53">
        <v>0</v>
      </c>
      <c r="CC30" s="53">
        <v>0</v>
      </c>
      <c r="CD30" s="54">
        <v>1</v>
      </c>
      <c r="CE30" s="55">
        <v>0</v>
      </c>
      <c r="CF30" s="56">
        <v>0</v>
      </c>
      <c r="CG30" s="56">
        <v>0</v>
      </c>
      <c r="CH30" s="40">
        <v>0</v>
      </c>
      <c r="CI30" s="40">
        <v>0</v>
      </c>
      <c r="CJ30" s="40">
        <v>0</v>
      </c>
      <c r="CK30" s="40">
        <v>0</v>
      </c>
      <c r="CL30" s="57">
        <v>0</v>
      </c>
      <c r="CM30" s="42">
        <v>0</v>
      </c>
      <c r="CN30" s="44">
        <v>0</v>
      </c>
      <c r="CO30" s="44">
        <v>0</v>
      </c>
      <c r="CP30" s="44">
        <v>0</v>
      </c>
      <c r="CQ30" s="44">
        <v>0</v>
      </c>
      <c r="CR30" s="44">
        <v>0</v>
      </c>
      <c r="CS30" s="44">
        <v>0</v>
      </c>
      <c r="CT30" s="43">
        <v>0</v>
      </c>
      <c r="CU30" s="8"/>
      <c r="CV30" s="132" t="s">
        <v>94</v>
      </c>
      <c r="CW30" s="132" t="s">
        <v>94</v>
      </c>
      <c r="CX30" s="133"/>
      <c r="CY30" s="133" t="s">
        <v>94</v>
      </c>
    </row>
    <row r="31" spans="1:103" ht="15" x14ac:dyDescent="0.2">
      <c r="A31" s="240">
        <v>25</v>
      </c>
      <c r="B31" s="290" t="s">
        <v>237</v>
      </c>
      <c r="C31" s="148" t="s">
        <v>257</v>
      </c>
      <c r="D31" s="148" t="s">
        <v>216</v>
      </c>
      <c r="E31" s="135" t="s">
        <v>212</v>
      </c>
      <c r="F31" s="135" t="s">
        <v>45</v>
      </c>
      <c r="G31" s="148" t="s">
        <v>177</v>
      </c>
      <c r="H31" s="148" t="s">
        <v>94</v>
      </c>
      <c r="I31" s="148"/>
      <c r="J31" s="148" t="s">
        <v>94</v>
      </c>
      <c r="K31" s="148"/>
      <c r="L31" s="148"/>
      <c r="M31" s="148" t="s">
        <v>266</v>
      </c>
      <c r="N31" s="148"/>
      <c r="O31" s="135" t="s">
        <v>213</v>
      </c>
      <c r="P31" s="135" t="s">
        <v>204</v>
      </c>
      <c r="Q31" s="36" t="str">
        <f t="shared" si="0"/>
        <v>0x0A</v>
      </c>
      <c r="R31" s="37" t="str">
        <f t="shared" si="1"/>
        <v>0x7B</v>
      </c>
      <c r="S31" s="37" t="str">
        <f t="shared" si="8"/>
        <v>0x76</v>
      </c>
      <c r="T31" s="37" t="str">
        <f t="shared" si="2"/>
        <v>0x0A</v>
      </c>
      <c r="U31" s="37" t="str">
        <f t="shared" si="3"/>
        <v>0x00</v>
      </c>
      <c r="V31" s="38" t="str">
        <f t="shared" si="4"/>
        <v>0xFF</v>
      </c>
      <c r="W31" s="40">
        <v>0</v>
      </c>
      <c r="X31" s="39">
        <v>0</v>
      </c>
      <c r="Y31" s="39">
        <v>0</v>
      </c>
      <c r="Z31" s="39">
        <v>0</v>
      </c>
      <c r="AA31" s="39">
        <v>1</v>
      </c>
      <c r="AB31" s="5">
        <v>0</v>
      </c>
      <c r="AC31" s="5">
        <v>1</v>
      </c>
      <c r="AD31" s="41">
        <v>0</v>
      </c>
      <c r="AE31" s="6">
        <v>0</v>
      </c>
      <c r="AF31" s="5">
        <v>1</v>
      </c>
      <c r="AG31" s="40">
        <v>1</v>
      </c>
      <c r="AH31" s="40">
        <v>1</v>
      </c>
      <c r="AI31" s="39">
        <v>1</v>
      </c>
      <c r="AJ31" s="39">
        <v>0</v>
      </c>
      <c r="AK31" s="39">
        <v>1</v>
      </c>
      <c r="AL31" s="41">
        <v>1</v>
      </c>
      <c r="AM31" s="42">
        <v>0</v>
      </c>
      <c r="AN31" s="4">
        <v>1</v>
      </c>
      <c r="AO31" s="7">
        <v>1</v>
      </c>
      <c r="AP31" s="295">
        <v>1</v>
      </c>
      <c r="AQ31" s="5">
        <v>0</v>
      </c>
      <c r="AR31" s="5">
        <v>1</v>
      </c>
      <c r="AS31" s="5">
        <v>1</v>
      </c>
      <c r="AT31" s="41">
        <v>0</v>
      </c>
      <c r="AU31" s="6">
        <v>0</v>
      </c>
      <c r="AV31" s="5">
        <v>0</v>
      </c>
      <c r="AW31" s="4">
        <v>0</v>
      </c>
      <c r="AX31" s="4">
        <v>0</v>
      </c>
      <c r="AY31" s="4">
        <v>1</v>
      </c>
      <c r="AZ31" s="4">
        <v>0</v>
      </c>
      <c r="BA31" s="4">
        <v>1</v>
      </c>
      <c r="BB31" s="43">
        <v>0</v>
      </c>
      <c r="BC31" s="42">
        <v>0</v>
      </c>
      <c r="BD31" s="44">
        <v>0</v>
      </c>
      <c r="BE31" s="44">
        <v>0</v>
      </c>
      <c r="BF31" s="44">
        <v>0</v>
      </c>
      <c r="BG31" s="45">
        <v>0</v>
      </c>
      <c r="BH31" s="44">
        <v>0</v>
      </c>
      <c r="BI31" s="44">
        <v>0</v>
      </c>
      <c r="BJ31" s="43">
        <v>0</v>
      </c>
      <c r="BK31" s="46">
        <v>1</v>
      </c>
      <c r="BL31" s="47">
        <v>1</v>
      </c>
      <c r="BM31" s="47">
        <v>1</v>
      </c>
      <c r="BN31" s="47">
        <v>1</v>
      </c>
      <c r="BO31" s="47">
        <v>1</v>
      </c>
      <c r="BP31" s="47">
        <v>1</v>
      </c>
      <c r="BQ31" s="48">
        <v>1</v>
      </c>
      <c r="BR31" s="49">
        <v>1</v>
      </c>
      <c r="BS31" s="50"/>
      <c r="BT31" s="51" t="str">
        <f t="shared" si="5"/>
        <v>0x21</v>
      </c>
      <c r="BU31" s="51" t="str">
        <f t="shared" si="6"/>
        <v>0x0</v>
      </c>
      <c r="BV31" s="52" t="str">
        <f t="shared" si="7"/>
        <v>0x0</v>
      </c>
      <c r="BW31" s="44">
        <v>0</v>
      </c>
      <c r="BX31" s="40">
        <v>0</v>
      </c>
      <c r="BY31" s="40">
        <v>1</v>
      </c>
      <c r="BZ31" s="40">
        <v>0</v>
      </c>
      <c r="CA31" s="53">
        <v>0</v>
      </c>
      <c r="CB31" s="53">
        <v>0</v>
      </c>
      <c r="CC31" s="53">
        <v>0</v>
      </c>
      <c r="CD31" s="54">
        <v>1</v>
      </c>
      <c r="CE31" s="55">
        <v>0</v>
      </c>
      <c r="CF31" s="56">
        <v>0</v>
      </c>
      <c r="CG31" s="56">
        <v>0</v>
      </c>
      <c r="CH31" s="40">
        <v>0</v>
      </c>
      <c r="CI31" s="40">
        <v>0</v>
      </c>
      <c r="CJ31" s="40">
        <v>0</v>
      </c>
      <c r="CK31" s="40">
        <v>0</v>
      </c>
      <c r="CL31" s="57">
        <v>0</v>
      </c>
      <c r="CM31" s="42">
        <v>0</v>
      </c>
      <c r="CN31" s="44">
        <v>0</v>
      </c>
      <c r="CO31" s="44">
        <v>0</v>
      </c>
      <c r="CP31" s="44">
        <v>0</v>
      </c>
      <c r="CQ31" s="44">
        <v>0</v>
      </c>
      <c r="CR31" s="44">
        <v>0</v>
      </c>
      <c r="CS31" s="44">
        <v>0</v>
      </c>
      <c r="CT31" s="43">
        <v>0</v>
      </c>
      <c r="CU31" s="8"/>
      <c r="CV31" s="132" t="s">
        <v>94</v>
      </c>
      <c r="CW31" s="132"/>
      <c r="CX31" s="133" t="s">
        <v>94</v>
      </c>
      <c r="CY31" s="133"/>
    </row>
    <row r="32" spans="1:103" ht="15" x14ac:dyDescent="0.2">
      <c r="A32" s="240">
        <v>26</v>
      </c>
      <c r="B32" s="290" t="s">
        <v>238</v>
      </c>
      <c r="C32" s="148" t="s">
        <v>257</v>
      </c>
      <c r="D32" s="148" t="s">
        <v>216</v>
      </c>
      <c r="E32" s="135" t="s">
        <v>212</v>
      </c>
      <c r="F32" s="135" t="s">
        <v>45</v>
      </c>
      <c r="G32" s="148" t="s">
        <v>270</v>
      </c>
      <c r="H32" s="148"/>
      <c r="I32" s="148"/>
      <c r="J32" s="148" t="s">
        <v>94</v>
      </c>
      <c r="K32" s="148"/>
      <c r="L32" s="148"/>
      <c r="M32" s="148" t="s">
        <v>266</v>
      </c>
      <c r="N32" s="148"/>
      <c r="O32" s="135"/>
      <c r="P32" s="135" t="s">
        <v>204</v>
      </c>
      <c r="Q32" s="36" t="str">
        <f t="shared" si="0"/>
        <v>0x02</v>
      </c>
      <c r="R32" s="37" t="str">
        <f t="shared" si="1"/>
        <v>0x7B</v>
      </c>
      <c r="S32" s="37" t="str">
        <f t="shared" si="8"/>
        <v>0x66</v>
      </c>
      <c r="T32" s="37" t="str">
        <f t="shared" si="2"/>
        <v>0x0A</v>
      </c>
      <c r="U32" s="37" t="str">
        <f t="shared" si="3"/>
        <v>0x00</v>
      </c>
      <c r="V32" s="38" t="str">
        <f t="shared" si="4"/>
        <v>0xFF</v>
      </c>
      <c r="W32" s="40">
        <v>0</v>
      </c>
      <c r="X32" s="39">
        <v>0</v>
      </c>
      <c r="Y32" s="39">
        <v>0</v>
      </c>
      <c r="Z32" s="39">
        <v>0</v>
      </c>
      <c r="AA32" s="39">
        <v>0</v>
      </c>
      <c r="AB32" s="5">
        <v>0</v>
      </c>
      <c r="AC32" s="5">
        <v>1</v>
      </c>
      <c r="AD32" s="41">
        <v>0</v>
      </c>
      <c r="AE32" s="6">
        <v>0</v>
      </c>
      <c r="AF32" s="5">
        <v>1</v>
      </c>
      <c r="AG32" s="40">
        <v>1</v>
      </c>
      <c r="AH32" s="40">
        <v>1</v>
      </c>
      <c r="AI32" s="39">
        <v>1</v>
      </c>
      <c r="AJ32" s="39">
        <v>0</v>
      </c>
      <c r="AK32" s="39">
        <v>1</v>
      </c>
      <c r="AL32" s="41">
        <v>1</v>
      </c>
      <c r="AM32" s="42">
        <v>0</v>
      </c>
      <c r="AN32" s="4">
        <v>1</v>
      </c>
      <c r="AO32" s="7">
        <v>1</v>
      </c>
      <c r="AP32" s="4">
        <v>0</v>
      </c>
      <c r="AQ32" s="5">
        <v>0</v>
      </c>
      <c r="AR32" s="5">
        <v>1</v>
      </c>
      <c r="AS32" s="5">
        <v>1</v>
      </c>
      <c r="AT32" s="41">
        <v>0</v>
      </c>
      <c r="AU32" s="6">
        <v>0</v>
      </c>
      <c r="AV32" s="5">
        <v>0</v>
      </c>
      <c r="AW32" s="4">
        <v>0</v>
      </c>
      <c r="AX32" s="4">
        <v>0</v>
      </c>
      <c r="AY32" s="4">
        <v>1</v>
      </c>
      <c r="AZ32" s="4">
        <v>0</v>
      </c>
      <c r="BA32" s="4">
        <v>1</v>
      </c>
      <c r="BB32" s="43">
        <v>0</v>
      </c>
      <c r="BC32" s="42">
        <v>0</v>
      </c>
      <c r="BD32" s="44">
        <v>0</v>
      </c>
      <c r="BE32" s="44">
        <v>0</v>
      </c>
      <c r="BF32" s="44">
        <v>0</v>
      </c>
      <c r="BG32" s="45">
        <v>0</v>
      </c>
      <c r="BH32" s="44">
        <v>0</v>
      </c>
      <c r="BI32" s="44">
        <v>0</v>
      </c>
      <c r="BJ32" s="43">
        <v>0</v>
      </c>
      <c r="BK32" s="46">
        <v>1</v>
      </c>
      <c r="BL32" s="47">
        <v>1</v>
      </c>
      <c r="BM32" s="47">
        <v>1</v>
      </c>
      <c r="BN32" s="47">
        <v>1</v>
      </c>
      <c r="BO32" s="47">
        <v>1</v>
      </c>
      <c r="BP32" s="47">
        <v>1</v>
      </c>
      <c r="BQ32" s="48">
        <v>1</v>
      </c>
      <c r="BR32" s="49">
        <v>1</v>
      </c>
      <c r="BS32" s="50"/>
      <c r="BT32" s="51" t="str">
        <f t="shared" si="5"/>
        <v>0x21</v>
      </c>
      <c r="BU32" s="51" t="str">
        <f t="shared" si="6"/>
        <v>0x0</v>
      </c>
      <c r="BV32" s="52" t="str">
        <f t="shared" si="7"/>
        <v>0x0</v>
      </c>
      <c r="BW32" s="44">
        <v>0</v>
      </c>
      <c r="BX32" s="40">
        <v>0</v>
      </c>
      <c r="BY32" s="40">
        <v>1</v>
      </c>
      <c r="BZ32" s="40">
        <v>0</v>
      </c>
      <c r="CA32" s="53">
        <v>0</v>
      </c>
      <c r="CB32" s="53">
        <v>0</v>
      </c>
      <c r="CC32" s="53">
        <v>0</v>
      </c>
      <c r="CD32" s="54">
        <v>1</v>
      </c>
      <c r="CE32" s="55">
        <v>0</v>
      </c>
      <c r="CF32" s="56">
        <v>0</v>
      </c>
      <c r="CG32" s="56">
        <v>0</v>
      </c>
      <c r="CH32" s="40">
        <v>0</v>
      </c>
      <c r="CI32" s="40">
        <v>0</v>
      </c>
      <c r="CJ32" s="40">
        <v>0</v>
      </c>
      <c r="CK32" s="40">
        <v>0</v>
      </c>
      <c r="CL32" s="57">
        <v>0</v>
      </c>
      <c r="CM32" s="42">
        <v>0</v>
      </c>
      <c r="CN32" s="44">
        <v>0</v>
      </c>
      <c r="CO32" s="44">
        <v>0</v>
      </c>
      <c r="CP32" s="44">
        <v>0</v>
      </c>
      <c r="CQ32" s="44">
        <v>0</v>
      </c>
      <c r="CR32" s="44">
        <v>0</v>
      </c>
      <c r="CS32" s="44">
        <v>0</v>
      </c>
      <c r="CT32" s="43">
        <v>0</v>
      </c>
      <c r="CU32" s="8"/>
      <c r="CV32" s="132" t="s">
        <v>94</v>
      </c>
      <c r="CW32" s="132"/>
      <c r="CX32" s="133"/>
      <c r="CY32" s="133"/>
    </row>
    <row r="33" spans="1:103" ht="15" x14ac:dyDescent="0.2">
      <c r="A33" s="240">
        <v>27</v>
      </c>
      <c r="B33" s="290" t="s">
        <v>239</v>
      </c>
      <c r="C33" s="148" t="s">
        <v>257</v>
      </c>
      <c r="D33" s="148" t="s">
        <v>230</v>
      </c>
      <c r="E33" s="135" t="s">
        <v>212</v>
      </c>
      <c r="F33" s="135" t="s">
        <v>45</v>
      </c>
      <c r="G33" s="148" t="s">
        <v>270</v>
      </c>
      <c r="H33" s="148"/>
      <c r="I33" s="148"/>
      <c r="J33" s="148" t="s">
        <v>94</v>
      </c>
      <c r="K33" s="148"/>
      <c r="L33" s="148"/>
      <c r="M33" s="148" t="s">
        <v>267</v>
      </c>
      <c r="N33" s="148"/>
      <c r="O33" s="135"/>
      <c r="P33" s="135" t="s">
        <v>204</v>
      </c>
      <c r="Q33" s="36" t="str">
        <f t="shared" si="0"/>
        <v>0x02</v>
      </c>
      <c r="R33" s="37" t="str">
        <f t="shared" si="1"/>
        <v>0x7B</v>
      </c>
      <c r="S33" s="37" t="str">
        <f t="shared" si="8"/>
        <v>0x66</v>
      </c>
      <c r="T33" s="37" t="str">
        <f t="shared" si="2"/>
        <v>0x08</v>
      </c>
      <c r="U33" s="37" t="str">
        <f t="shared" si="3"/>
        <v>0x00</v>
      </c>
      <c r="V33" s="38" t="str">
        <f t="shared" si="4"/>
        <v>0xFF</v>
      </c>
      <c r="W33" s="40">
        <v>0</v>
      </c>
      <c r="X33" s="39">
        <v>0</v>
      </c>
      <c r="Y33" s="39">
        <v>0</v>
      </c>
      <c r="Z33" s="39">
        <v>0</v>
      </c>
      <c r="AA33" s="39">
        <v>0</v>
      </c>
      <c r="AB33" s="5">
        <v>0</v>
      </c>
      <c r="AC33" s="5">
        <v>1</v>
      </c>
      <c r="AD33" s="41">
        <v>0</v>
      </c>
      <c r="AE33" s="6">
        <v>0</v>
      </c>
      <c r="AF33" s="5">
        <v>1</v>
      </c>
      <c r="AG33" s="40">
        <v>1</v>
      </c>
      <c r="AH33" s="40">
        <v>1</v>
      </c>
      <c r="AI33" s="39">
        <v>1</v>
      </c>
      <c r="AJ33" s="39">
        <v>0</v>
      </c>
      <c r="AK33" s="39">
        <v>1</v>
      </c>
      <c r="AL33" s="41">
        <v>1</v>
      </c>
      <c r="AM33" s="42">
        <v>0</v>
      </c>
      <c r="AN33" s="4">
        <v>1</v>
      </c>
      <c r="AO33" s="7">
        <v>1</v>
      </c>
      <c r="AP33" s="4">
        <v>0</v>
      </c>
      <c r="AQ33" s="5">
        <v>0</v>
      </c>
      <c r="AR33" s="5">
        <v>1</v>
      </c>
      <c r="AS33" s="5">
        <v>1</v>
      </c>
      <c r="AT33" s="41">
        <v>0</v>
      </c>
      <c r="AU33" s="6">
        <v>0</v>
      </c>
      <c r="AV33" s="5">
        <v>0</v>
      </c>
      <c r="AW33" s="4">
        <v>0</v>
      </c>
      <c r="AX33" s="4">
        <v>0</v>
      </c>
      <c r="AY33" s="4">
        <v>1</v>
      </c>
      <c r="AZ33" s="4">
        <v>0</v>
      </c>
      <c r="BA33" s="4">
        <v>0</v>
      </c>
      <c r="BB33" s="43">
        <v>0</v>
      </c>
      <c r="BC33" s="42">
        <v>0</v>
      </c>
      <c r="BD33" s="44">
        <v>0</v>
      </c>
      <c r="BE33" s="44">
        <v>0</v>
      </c>
      <c r="BF33" s="44">
        <v>0</v>
      </c>
      <c r="BG33" s="45">
        <v>0</v>
      </c>
      <c r="BH33" s="44">
        <v>0</v>
      </c>
      <c r="BI33" s="44">
        <v>0</v>
      </c>
      <c r="BJ33" s="43">
        <v>0</v>
      </c>
      <c r="BK33" s="46">
        <v>1</v>
      </c>
      <c r="BL33" s="47">
        <v>1</v>
      </c>
      <c r="BM33" s="47">
        <v>1</v>
      </c>
      <c r="BN33" s="47">
        <v>1</v>
      </c>
      <c r="BO33" s="47">
        <v>1</v>
      </c>
      <c r="BP33" s="47">
        <v>1</v>
      </c>
      <c r="BQ33" s="48">
        <v>1</v>
      </c>
      <c r="BR33" s="49">
        <v>1</v>
      </c>
      <c r="BS33" s="50"/>
      <c r="BT33" s="51" t="str">
        <f t="shared" si="5"/>
        <v>0x21</v>
      </c>
      <c r="BU33" s="51" t="str">
        <f t="shared" si="6"/>
        <v>0x0</v>
      </c>
      <c r="BV33" s="52" t="str">
        <f t="shared" si="7"/>
        <v>0x0</v>
      </c>
      <c r="BW33" s="44">
        <v>0</v>
      </c>
      <c r="BX33" s="40">
        <v>0</v>
      </c>
      <c r="BY33" s="40">
        <v>1</v>
      </c>
      <c r="BZ33" s="40">
        <v>0</v>
      </c>
      <c r="CA33" s="53">
        <v>0</v>
      </c>
      <c r="CB33" s="53">
        <v>0</v>
      </c>
      <c r="CC33" s="53">
        <v>0</v>
      </c>
      <c r="CD33" s="54">
        <v>1</v>
      </c>
      <c r="CE33" s="55">
        <v>0</v>
      </c>
      <c r="CF33" s="56">
        <v>0</v>
      </c>
      <c r="CG33" s="56">
        <v>0</v>
      </c>
      <c r="CH33" s="40">
        <v>0</v>
      </c>
      <c r="CI33" s="40">
        <v>0</v>
      </c>
      <c r="CJ33" s="40">
        <v>0</v>
      </c>
      <c r="CK33" s="40">
        <v>0</v>
      </c>
      <c r="CL33" s="57">
        <v>0</v>
      </c>
      <c r="CM33" s="42">
        <v>0</v>
      </c>
      <c r="CN33" s="44">
        <v>0</v>
      </c>
      <c r="CO33" s="44">
        <v>0</v>
      </c>
      <c r="CP33" s="44">
        <v>0</v>
      </c>
      <c r="CQ33" s="44">
        <v>0</v>
      </c>
      <c r="CR33" s="44">
        <v>0</v>
      </c>
      <c r="CS33" s="44">
        <v>0</v>
      </c>
      <c r="CT33" s="43">
        <v>0</v>
      </c>
      <c r="CU33" s="8"/>
      <c r="CV33" s="132" t="s">
        <v>94</v>
      </c>
      <c r="CW33" s="132"/>
      <c r="CX33" s="133"/>
      <c r="CY33" s="133"/>
    </row>
    <row r="34" spans="1:103" ht="15" x14ac:dyDescent="0.2">
      <c r="A34" s="240">
        <v>28</v>
      </c>
      <c r="B34" s="290" t="s">
        <v>240</v>
      </c>
      <c r="C34" s="148" t="s">
        <v>257</v>
      </c>
      <c r="D34" s="148" t="s">
        <v>230</v>
      </c>
      <c r="E34" s="135" t="s">
        <v>212</v>
      </c>
      <c r="F34" s="135" t="s">
        <v>45</v>
      </c>
      <c r="G34" s="148" t="s">
        <v>270</v>
      </c>
      <c r="H34" s="148"/>
      <c r="I34" s="148"/>
      <c r="J34" s="148"/>
      <c r="K34" s="148" t="s">
        <v>217</v>
      </c>
      <c r="L34" s="148"/>
      <c r="M34" s="148" t="s">
        <v>267</v>
      </c>
      <c r="N34" s="148"/>
      <c r="O34" s="135"/>
      <c r="P34" s="135" t="s">
        <v>204</v>
      </c>
      <c r="Q34" s="36" t="str">
        <f t="shared" si="0"/>
        <v>0x01</v>
      </c>
      <c r="R34" s="37" t="str">
        <f t="shared" si="1"/>
        <v>0x6B</v>
      </c>
      <c r="S34" s="37" t="str">
        <f t="shared" si="8"/>
        <v>0x66</v>
      </c>
      <c r="T34" s="37" t="str">
        <f t="shared" si="2"/>
        <v>0x04</v>
      </c>
      <c r="U34" s="37" t="str">
        <f t="shared" si="3"/>
        <v>0x00</v>
      </c>
      <c r="V34" s="38" t="str">
        <f t="shared" si="4"/>
        <v>0xFF</v>
      </c>
      <c r="W34" s="40">
        <v>0</v>
      </c>
      <c r="X34" s="39">
        <v>0</v>
      </c>
      <c r="Y34" s="39">
        <v>0</v>
      </c>
      <c r="Z34" s="39">
        <v>0</v>
      </c>
      <c r="AA34" s="39">
        <v>0</v>
      </c>
      <c r="AB34" s="5">
        <v>0</v>
      </c>
      <c r="AC34" s="5">
        <v>0</v>
      </c>
      <c r="AD34" s="41">
        <v>1</v>
      </c>
      <c r="AE34" s="6">
        <v>0</v>
      </c>
      <c r="AF34" s="5">
        <v>1</v>
      </c>
      <c r="AG34" s="40">
        <v>1</v>
      </c>
      <c r="AH34" s="40">
        <v>0</v>
      </c>
      <c r="AI34" s="39">
        <v>1</v>
      </c>
      <c r="AJ34" s="39">
        <v>0</v>
      </c>
      <c r="AK34" s="39">
        <v>1</v>
      </c>
      <c r="AL34" s="41">
        <v>1</v>
      </c>
      <c r="AM34" s="42">
        <v>0</v>
      </c>
      <c r="AN34" s="4">
        <v>1</v>
      </c>
      <c r="AO34" s="7">
        <v>1</v>
      </c>
      <c r="AP34" s="4">
        <v>0</v>
      </c>
      <c r="AQ34" s="5">
        <v>0</v>
      </c>
      <c r="AR34" s="5">
        <v>1</v>
      </c>
      <c r="AS34" s="5">
        <v>1</v>
      </c>
      <c r="AT34" s="41">
        <v>0</v>
      </c>
      <c r="AU34" s="6">
        <v>0</v>
      </c>
      <c r="AV34" s="5">
        <v>0</v>
      </c>
      <c r="AW34" s="4">
        <v>0</v>
      </c>
      <c r="AX34" s="4">
        <v>0</v>
      </c>
      <c r="AY34" s="4">
        <v>0</v>
      </c>
      <c r="AZ34" s="4">
        <v>1</v>
      </c>
      <c r="BA34" s="4">
        <v>0</v>
      </c>
      <c r="BB34" s="43">
        <v>0</v>
      </c>
      <c r="BC34" s="42">
        <v>0</v>
      </c>
      <c r="BD34" s="44">
        <v>0</v>
      </c>
      <c r="BE34" s="44">
        <v>0</v>
      </c>
      <c r="BF34" s="44">
        <v>0</v>
      </c>
      <c r="BG34" s="45">
        <v>0</v>
      </c>
      <c r="BH34" s="44">
        <v>0</v>
      </c>
      <c r="BI34" s="44">
        <v>0</v>
      </c>
      <c r="BJ34" s="43">
        <v>0</v>
      </c>
      <c r="BK34" s="46">
        <v>1</v>
      </c>
      <c r="BL34" s="47">
        <v>1</v>
      </c>
      <c r="BM34" s="47">
        <v>1</v>
      </c>
      <c r="BN34" s="47">
        <v>1</v>
      </c>
      <c r="BO34" s="47">
        <v>1</v>
      </c>
      <c r="BP34" s="47">
        <v>1</v>
      </c>
      <c r="BQ34" s="48">
        <v>1</v>
      </c>
      <c r="BR34" s="49">
        <v>1</v>
      </c>
      <c r="BS34" s="50"/>
      <c r="BT34" s="51" t="str">
        <f t="shared" si="5"/>
        <v>0x21</v>
      </c>
      <c r="BU34" s="51" t="str">
        <f t="shared" si="6"/>
        <v>0x0</v>
      </c>
      <c r="BV34" s="52" t="str">
        <f t="shared" si="7"/>
        <v>0x0</v>
      </c>
      <c r="BW34" s="44">
        <v>0</v>
      </c>
      <c r="BX34" s="40">
        <v>0</v>
      </c>
      <c r="BY34" s="40">
        <v>1</v>
      </c>
      <c r="BZ34" s="40">
        <v>0</v>
      </c>
      <c r="CA34" s="53">
        <v>0</v>
      </c>
      <c r="CB34" s="53">
        <v>0</v>
      </c>
      <c r="CC34" s="53">
        <v>0</v>
      </c>
      <c r="CD34" s="54">
        <v>1</v>
      </c>
      <c r="CE34" s="55">
        <v>0</v>
      </c>
      <c r="CF34" s="56">
        <v>0</v>
      </c>
      <c r="CG34" s="56">
        <v>0</v>
      </c>
      <c r="CH34" s="40">
        <v>0</v>
      </c>
      <c r="CI34" s="40">
        <v>0</v>
      </c>
      <c r="CJ34" s="40">
        <v>0</v>
      </c>
      <c r="CK34" s="40">
        <v>0</v>
      </c>
      <c r="CL34" s="57">
        <v>0</v>
      </c>
      <c r="CM34" s="42">
        <v>0</v>
      </c>
      <c r="CN34" s="44">
        <v>0</v>
      </c>
      <c r="CO34" s="44">
        <v>0</v>
      </c>
      <c r="CP34" s="44">
        <v>0</v>
      </c>
      <c r="CQ34" s="44">
        <v>0</v>
      </c>
      <c r="CR34" s="44">
        <v>0</v>
      </c>
      <c r="CS34" s="44">
        <v>0</v>
      </c>
      <c r="CT34" s="43">
        <v>0</v>
      </c>
      <c r="CU34" s="8"/>
      <c r="CV34" s="132" t="s">
        <v>94</v>
      </c>
      <c r="CW34" s="132"/>
      <c r="CX34" s="133"/>
      <c r="CY34" s="133"/>
    </row>
    <row r="35" spans="1:103" ht="15" x14ac:dyDescent="0.2">
      <c r="A35" s="240">
        <v>29</v>
      </c>
      <c r="B35" s="290" t="s">
        <v>241</v>
      </c>
      <c r="C35" s="148" t="s">
        <v>257</v>
      </c>
      <c r="D35" s="148" t="s">
        <v>230</v>
      </c>
      <c r="E35" s="135" t="s">
        <v>208</v>
      </c>
      <c r="F35" s="135" t="s">
        <v>45</v>
      </c>
      <c r="G35" s="148" t="s">
        <v>270</v>
      </c>
      <c r="H35" s="148"/>
      <c r="I35" s="148"/>
      <c r="J35" s="148" t="s">
        <v>94</v>
      </c>
      <c r="K35" s="148"/>
      <c r="L35" s="148"/>
      <c r="M35" s="148"/>
      <c r="N35" s="148"/>
      <c r="O35" s="135"/>
      <c r="P35" s="135" t="s">
        <v>204</v>
      </c>
      <c r="Q35" s="36" t="str">
        <f t="shared" si="0"/>
        <v>0x42</v>
      </c>
      <c r="R35" s="37" t="str">
        <f t="shared" si="1"/>
        <v>0x7B</v>
      </c>
      <c r="S35" s="37" t="str">
        <f t="shared" si="8"/>
        <v>0x46</v>
      </c>
      <c r="T35" s="37" t="str">
        <f t="shared" si="2"/>
        <v>0x08</v>
      </c>
      <c r="U35" s="37" t="str">
        <f t="shared" si="3"/>
        <v>0x00</v>
      </c>
      <c r="V35" s="38" t="str">
        <f t="shared" si="4"/>
        <v>0xFF</v>
      </c>
      <c r="W35" s="40">
        <v>0</v>
      </c>
      <c r="X35" s="39">
        <v>1</v>
      </c>
      <c r="Y35" s="39">
        <v>0</v>
      </c>
      <c r="Z35" s="39">
        <v>0</v>
      </c>
      <c r="AA35" s="39">
        <v>0</v>
      </c>
      <c r="AB35" s="5">
        <v>0</v>
      </c>
      <c r="AC35" s="5">
        <v>1</v>
      </c>
      <c r="AD35" s="41">
        <v>0</v>
      </c>
      <c r="AE35" s="6">
        <v>0</v>
      </c>
      <c r="AF35" s="5">
        <v>1</v>
      </c>
      <c r="AG35" s="40">
        <v>1</v>
      </c>
      <c r="AH35" s="40">
        <v>1</v>
      </c>
      <c r="AI35" s="39">
        <v>1</v>
      </c>
      <c r="AJ35" s="39">
        <v>0</v>
      </c>
      <c r="AK35" s="39">
        <v>1</v>
      </c>
      <c r="AL35" s="41">
        <v>1</v>
      </c>
      <c r="AM35" s="42">
        <v>0</v>
      </c>
      <c r="AN35" s="4">
        <v>1</v>
      </c>
      <c r="AO35" s="7">
        <v>0</v>
      </c>
      <c r="AP35" s="4">
        <v>0</v>
      </c>
      <c r="AQ35" s="5">
        <v>0</v>
      </c>
      <c r="AR35" s="5">
        <v>1</v>
      </c>
      <c r="AS35" s="5">
        <v>1</v>
      </c>
      <c r="AT35" s="41">
        <v>0</v>
      </c>
      <c r="AU35" s="6">
        <v>0</v>
      </c>
      <c r="AV35" s="5">
        <v>0</v>
      </c>
      <c r="AW35" s="4">
        <v>0</v>
      </c>
      <c r="AX35" s="4">
        <v>0</v>
      </c>
      <c r="AY35" s="4">
        <v>1</v>
      </c>
      <c r="AZ35" s="4">
        <v>0</v>
      </c>
      <c r="BA35" s="4">
        <v>0</v>
      </c>
      <c r="BB35" s="43">
        <v>0</v>
      </c>
      <c r="BC35" s="42">
        <v>0</v>
      </c>
      <c r="BD35" s="44">
        <v>0</v>
      </c>
      <c r="BE35" s="44">
        <v>0</v>
      </c>
      <c r="BF35" s="44">
        <v>0</v>
      </c>
      <c r="BG35" s="45">
        <v>0</v>
      </c>
      <c r="BH35" s="44">
        <v>0</v>
      </c>
      <c r="BI35" s="44">
        <v>0</v>
      </c>
      <c r="BJ35" s="43">
        <v>0</v>
      </c>
      <c r="BK35" s="46">
        <v>1</v>
      </c>
      <c r="BL35" s="47">
        <v>1</v>
      </c>
      <c r="BM35" s="47">
        <v>1</v>
      </c>
      <c r="BN35" s="47">
        <v>1</v>
      </c>
      <c r="BO35" s="47">
        <v>1</v>
      </c>
      <c r="BP35" s="47">
        <v>1</v>
      </c>
      <c r="BQ35" s="48">
        <v>1</v>
      </c>
      <c r="BR35" s="49">
        <v>1</v>
      </c>
      <c r="BS35" s="50"/>
      <c r="BT35" s="51" t="str">
        <f t="shared" si="5"/>
        <v>0x21</v>
      </c>
      <c r="BU35" s="51" t="str">
        <f t="shared" si="6"/>
        <v>0x0</v>
      </c>
      <c r="BV35" s="52" t="str">
        <f t="shared" si="7"/>
        <v>0x0</v>
      </c>
      <c r="BW35" s="44">
        <v>0</v>
      </c>
      <c r="BX35" s="40">
        <v>0</v>
      </c>
      <c r="BY35" s="40">
        <v>1</v>
      </c>
      <c r="BZ35" s="40">
        <v>0</v>
      </c>
      <c r="CA35" s="53">
        <v>0</v>
      </c>
      <c r="CB35" s="53">
        <v>0</v>
      </c>
      <c r="CC35" s="53">
        <v>0</v>
      </c>
      <c r="CD35" s="54">
        <v>1</v>
      </c>
      <c r="CE35" s="55">
        <v>0</v>
      </c>
      <c r="CF35" s="56">
        <v>0</v>
      </c>
      <c r="CG35" s="56">
        <v>0</v>
      </c>
      <c r="CH35" s="40">
        <v>0</v>
      </c>
      <c r="CI35" s="40">
        <v>0</v>
      </c>
      <c r="CJ35" s="40">
        <v>0</v>
      </c>
      <c r="CK35" s="40">
        <v>0</v>
      </c>
      <c r="CL35" s="57">
        <v>0</v>
      </c>
      <c r="CM35" s="42">
        <v>0</v>
      </c>
      <c r="CN35" s="44">
        <v>0</v>
      </c>
      <c r="CO35" s="44">
        <v>0</v>
      </c>
      <c r="CP35" s="44">
        <v>0</v>
      </c>
      <c r="CQ35" s="44">
        <v>0</v>
      </c>
      <c r="CR35" s="44">
        <v>0</v>
      </c>
      <c r="CS35" s="44">
        <v>0</v>
      </c>
      <c r="CT35" s="43">
        <v>0</v>
      </c>
      <c r="CU35" s="8"/>
      <c r="CV35" s="132" t="s">
        <v>94</v>
      </c>
      <c r="CW35" s="132"/>
      <c r="CX35" s="133"/>
      <c r="CY35" s="133"/>
    </row>
    <row r="36" spans="1:103" ht="15" x14ac:dyDescent="0.2">
      <c r="A36" s="240">
        <v>30</v>
      </c>
      <c r="B36" s="290" t="s">
        <v>242</v>
      </c>
      <c r="C36" s="148" t="s">
        <v>257</v>
      </c>
      <c r="D36" s="148" t="s">
        <v>230</v>
      </c>
      <c r="E36" s="135" t="s">
        <v>208</v>
      </c>
      <c r="F36" s="135" t="s">
        <v>45</v>
      </c>
      <c r="G36" s="148" t="s">
        <v>270</v>
      </c>
      <c r="H36" s="148"/>
      <c r="I36" s="148"/>
      <c r="J36" s="148"/>
      <c r="K36" s="148" t="s">
        <v>217</v>
      </c>
      <c r="L36" s="148"/>
      <c r="M36" s="148"/>
      <c r="N36" s="148"/>
      <c r="O36" s="135"/>
      <c r="P36" s="135" t="s">
        <v>204</v>
      </c>
      <c r="Q36" s="36" t="str">
        <f t="shared" si="0"/>
        <v>0x41</v>
      </c>
      <c r="R36" s="37" t="str">
        <f t="shared" si="1"/>
        <v>0x6B</v>
      </c>
      <c r="S36" s="37" t="str">
        <f t="shared" si="8"/>
        <v>0x46</v>
      </c>
      <c r="T36" s="37" t="str">
        <f t="shared" si="2"/>
        <v>0x04</v>
      </c>
      <c r="U36" s="37" t="str">
        <f t="shared" si="3"/>
        <v>0x00</v>
      </c>
      <c r="V36" s="38" t="str">
        <f t="shared" si="4"/>
        <v>0xFF</v>
      </c>
      <c r="W36" s="40">
        <v>0</v>
      </c>
      <c r="X36" s="39">
        <v>1</v>
      </c>
      <c r="Y36" s="39">
        <v>0</v>
      </c>
      <c r="Z36" s="39">
        <v>0</v>
      </c>
      <c r="AA36" s="39">
        <v>0</v>
      </c>
      <c r="AB36" s="5">
        <v>0</v>
      </c>
      <c r="AC36" s="5">
        <v>0</v>
      </c>
      <c r="AD36" s="41">
        <v>1</v>
      </c>
      <c r="AE36" s="6">
        <v>0</v>
      </c>
      <c r="AF36" s="5">
        <v>1</v>
      </c>
      <c r="AG36" s="40">
        <v>1</v>
      </c>
      <c r="AH36" s="40">
        <v>0</v>
      </c>
      <c r="AI36" s="39">
        <v>1</v>
      </c>
      <c r="AJ36" s="39">
        <v>0</v>
      </c>
      <c r="AK36" s="39">
        <v>1</v>
      </c>
      <c r="AL36" s="41">
        <v>1</v>
      </c>
      <c r="AM36" s="42">
        <v>0</v>
      </c>
      <c r="AN36" s="4">
        <v>1</v>
      </c>
      <c r="AO36" s="7">
        <v>0</v>
      </c>
      <c r="AP36" s="4">
        <v>0</v>
      </c>
      <c r="AQ36" s="5">
        <v>0</v>
      </c>
      <c r="AR36" s="5">
        <v>1</v>
      </c>
      <c r="AS36" s="5">
        <v>1</v>
      </c>
      <c r="AT36" s="41">
        <v>0</v>
      </c>
      <c r="AU36" s="6">
        <v>0</v>
      </c>
      <c r="AV36" s="5">
        <v>0</v>
      </c>
      <c r="AW36" s="4">
        <v>0</v>
      </c>
      <c r="AX36" s="4">
        <v>0</v>
      </c>
      <c r="AY36" s="4">
        <v>0</v>
      </c>
      <c r="AZ36" s="4">
        <v>1</v>
      </c>
      <c r="BA36" s="4">
        <v>0</v>
      </c>
      <c r="BB36" s="43">
        <v>0</v>
      </c>
      <c r="BC36" s="42">
        <v>0</v>
      </c>
      <c r="BD36" s="44">
        <v>0</v>
      </c>
      <c r="BE36" s="44">
        <v>0</v>
      </c>
      <c r="BF36" s="44">
        <v>0</v>
      </c>
      <c r="BG36" s="45">
        <v>0</v>
      </c>
      <c r="BH36" s="44">
        <v>0</v>
      </c>
      <c r="BI36" s="44">
        <v>0</v>
      </c>
      <c r="BJ36" s="43">
        <v>0</v>
      </c>
      <c r="BK36" s="46">
        <v>1</v>
      </c>
      <c r="BL36" s="47">
        <v>1</v>
      </c>
      <c r="BM36" s="47">
        <v>1</v>
      </c>
      <c r="BN36" s="47">
        <v>1</v>
      </c>
      <c r="BO36" s="47">
        <v>1</v>
      </c>
      <c r="BP36" s="47">
        <v>1</v>
      </c>
      <c r="BQ36" s="48">
        <v>1</v>
      </c>
      <c r="BR36" s="49">
        <v>1</v>
      </c>
      <c r="BS36" s="50"/>
      <c r="BT36" s="51" t="str">
        <f t="shared" si="5"/>
        <v>0x21</v>
      </c>
      <c r="BU36" s="51" t="str">
        <f t="shared" si="6"/>
        <v>0x0</v>
      </c>
      <c r="BV36" s="52" t="str">
        <f t="shared" si="7"/>
        <v>0x0</v>
      </c>
      <c r="BW36" s="44">
        <v>0</v>
      </c>
      <c r="BX36" s="40">
        <v>0</v>
      </c>
      <c r="BY36" s="40">
        <v>1</v>
      </c>
      <c r="BZ36" s="40">
        <v>0</v>
      </c>
      <c r="CA36" s="53">
        <v>0</v>
      </c>
      <c r="CB36" s="53">
        <v>0</v>
      </c>
      <c r="CC36" s="53">
        <v>0</v>
      </c>
      <c r="CD36" s="54">
        <v>1</v>
      </c>
      <c r="CE36" s="55">
        <v>0</v>
      </c>
      <c r="CF36" s="56">
        <v>0</v>
      </c>
      <c r="CG36" s="56">
        <v>0</v>
      </c>
      <c r="CH36" s="40">
        <v>0</v>
      </c>
      <c r="CI36" s="40">
        <v>0</v>
      </c>
      <c r="CJ36" s="40">
        <v>0</v>
      </c>
      <c r="CK36" s="40">
        <v>0</v>
      </c>
      <c r="CL36" s="57">
        <v>0</v>
      </c>
      <c r="CM36" s="42">
        <v>0</v>
      </c>
      <c r="CN36" s="44">
        <v>0</v>
      </c>
      <c r="CO36" s="44">
        <v>0</v>
      </c>
      <c r="CP36" s="44">
        <v>0</v>
      </c>
      <c r="CQ36" s="44">
        <v>0</v>
      </c>
      <c r="CR36" s="44">
        <v>0</v>
      </c>
      <c r="CS36" s="44">
        <v>0</v>
      </c>
      <c r="CT36" s="43">
        <v>0</v>
      </c>
      <c r="CU36" s="8"/>
      <c r="CV36" s="132" t="s">
        <v>94</v>
      </c>
      <c r="CW36" s="132"/>
      <c r="CX36" s="133"/>
      <c r="CY36" s="133"/>
    </row>
    <row r="37" spans="1:103" ht="15" x14ac:dyDescent="0.2">
      <c r="A37" s="240">
        <v>31</v>
      </c>
      <c r="B37" s="290" t="s">
        <v>243</v>
      </c>
      <c r="C37" s="148" t="s">
        <v>257</v>
      </c>
      <c r="D37" s="148" t="s">
        <v>216</v>
      </c>
      <c r="E37" s="135" t="s">
        <v>212</v>
      </c>
      <c r="F37" s="135" t="s">
        <v>45</v>
      </c>
      <c r="G37" s="148" t="s">
        <v>270</v>
      </c>
      <c r="H37" s="148"/>
      <c r="I37" s="148"/>
      <c r="J37" s="148"/>
      <c r="K37" s="148" t="s">
        <v>217</v>
      </c>
      <c r="L37" s="148"/>
      <c r="M37" s="148"/>
      <c r="N37" s="148"/>
      <c r="O37" s="135"/>
      <c r="P37" s="135" t="s">
        <v>204</v>
      </c>
      <c r="Q37" s="36" t="str">
        <f t="shared" si="0"/>
        <v>0x01</v>
      </c>
      <c r="R37" s="37" t="str">
        <f t="shared" si="1"/>
        <v>0x6B</v>
      </c>
      <c r="S37" s="37" t="str">
        <f t="shared" si="8"/>
        <v>0x46</v>
      </c>
      <c r="T37" s="37" t="str">
        <f t="shared" si="2"/>
        <v>0x06</v>
      </c>
      <c r="U37" s="37" t="str">
        <f t="shared" si="3"/>
        <v>0x00</v>
      </c>
      <c r="V37" s="38" t="str">
        <f t="shared" si="4"/>
        <v>0xFF</v>
      </c>
      <c r="W37" s="40">
        <v>0</v>
      </c>
      <c r="X37" s="39">
        <v>0</v>
      </c>
      <c r="Y37" s="39">
        <v>0</v>
      </c>
      <c r="Z37" s="39">
        <v>0</v>
      </c>
      <c r="AA37" s="39">
        <v>0</v>
      </c>
      <c r="AB37" s="5">
        <v>0</v>
      </c>
      <c r="AC37" s="5">
        <v>0</v>
      </c>
      <c r="AD37" s="41">
        <v>1</v>
      </c>
      <c r="AE37" s="6">
        <v>0</v>
      </c>
      <c r="AF37" s="5">
        <v>1</v>
      </c>
      <c r="AG37" s="40">
        <v>1</v>
      </c>
      <c r="AH37" s="40">
        <v>0</v>
      </c>
      <c r="AI37" s="39">
        <v>1</v>
      </c>
      <c r="AJ37" s="39">
        <v>0</v>
      </c>
      <c r="AK37" s="39">
        <v>1</v>
      </c>
      <c r="AL37" s="41">
        <v>1</v>
      </c>
      <c r="AM37" s="42">
        <v>0</v>
      </c>
      <c r="AN37" s="4">
        <v>1</v>
      </c>
      <c r="AO37" s="7">
        <v>0</v>
      </c>
      <c r="AP37" s="4">
        <v>0</v>
      </c>
      <c r="AQ37" s="5">
        <v>0</v>
      </c>
      <c r="AR37" s="5">
        <v>1</v>
      </c>
      <c r="AS37" s="5">
        <v>1</v>
      </c>
      <c r="AT37" s="41">
        <v>0</v>
      </c>
      <c r="AU37" s="6">
        <v>0</v>
      </c>
      <c r="AV37" s="5">
        <v>0</v>
      </c>
      <c r="AW37" s="4">
        <v>0</v>
      </c>
      <c r="AX37" s="4">
        <v>0</v>
      </c>
      <c r="AY37" s="4">
        <v>0</v>
      </c>
      <c r="AZ37" s="4">
        <v>1</v>
      </c>
      <c r="BA37" s="4">
        <v>1</v>
      </c>
      <c r="BB37" s="43">
        <v>0</v>
      </c>
      <c r="BC37" s="42">
        <v>0</v>
      </c>
      <c r="BD37" s="44">
        <v>0</v>
      </c>
      <c r="BE37" s="44">
        <v>0</v>
      </c>
      <c r="BF37" s="44">
        <v>0</v>
      </c>
      <c r="BG37" s="45">
        <v>0</v>
      </c>
      <c r="BH37" s="44">
        <v>0</v>
      </c>
      <c r="BI37" s="44">
        <v>0</v>
      </c>
      <c r="BJ37" s="43">
        <v>0</v>
      </c>
      <c r="BK37" s="46">
        <v>1</v>
      </c>
      <c r="BL37" s="47">
        <v>1</v>
      </c>
      <c r="BM37" s="47">
        <v>1</v>
      </c>
      <c r="BN37" s="47">
        <v>1</v>
      </c>
      <c r="BO37" s="47">
        <v>1</v>
      </c>
      <c r="BP37" s="47">
        <v>1</v>
      </c>
      <c r="BQ37" s="48">
        <v>1</v>
      </c>
      <c r="BR37" s="49">
        <v>1</v>
      </c>
      <c r="BS37" s="50"/>
      <c r="BT37" s="51" t="str">
        <f t="shared" si="5"/>
        <v>0x21</v>
      </c>
      <c r="BU37" s="51" t="str">
        <f t="shared" si="6"/>
        <v>0x0</v>
      </c>
      <c r="BV37" s="52" t="str">
        <f t="shared" si="7"/>
        <v>0x0</v>
      </c>
      <c r="BW37" s="44">
        <v>0</v>
      </c>
      <c r="BX37" s="40">
        <v>0</v>
      </c>
      <c r="BY37" s="40">
        <v>1</v>
      </c>
      <c r="BZ37" s="40">
        <v>0</v>
      </c>
      <c r="CA37" s="53">
        <v>0</v>
      </c>
      <c r="CB37" s="53">
        <v>0</v>
      </c>
      <c r="CC37" s="53">
        <v>0</v>
      </c>
      <c r="CD37" s="54">
        <v>1</v>
      </c>
      <c r="CE37" s="55">
        <v>0</v>
      </c>
      <c r="CF37" s="56">
        <v>0</v>
      </c>
      <c r="CG37" s="56">
        <v>0</v>
      </c>
      <c r="CH37" s="40">
        <v>0</v>
      </c>
      <c r="CI37" s="40">
        <v>0</v>
      </c>
      <c r="CJ37" s="40">
        <v>0</v>
      </c>
      <c r="CK37" s="40">
        <v>0</v>
      </c>
      <c r="CL37" s="57">
        <v>0</v>
      </c>
      <c r="CM37" s="42">
        <v>0</v>
      </c>
      <c r="CN37" s="44">
        <v>0</v>
      </c>
      <c r="CO37" s="44">
        <v>0</v>
      </c>
      <c r="CP37" s="44">
        <v>0</v>
      </c>
      <c r="CQ37" s="44">
        <v>0</v>
      </c>
      <c r="CR37" s="44">
        <v>0</v>
      </c>
      <c r="CS37" s="44">
        <v>0</v>
      </c>
      <c r="CT37" s="43">
        <v>0</v>
      </c>
      <c r="CU37" s="8"/>
      <c r="CV37" s="132" t="s">
        <v>94</v>
      </c>
      <c r="CW37" s="132"/>
      <c r="CX37" s="133"/>
      <c r="CY37" s="133"/>
    </row>
    <row r="38" spans="1:103" ht="15" x14ac:dyDescent="0.2">
      <c r="A38" s="240">
        <v>32</v>
      </c>
      <c r="B38" s="290" t="s">
        <v>244</v>
      </c>
      <c r="C38" s="148" t="s">
        <v>257</v>
      </c>
      <c r="D38" s="148" t="s">
        <v>207</v>
      </c>
      <c r="E38" s="135" t="s">
        <v>212</v>
      </c>
      <c r="F38" s="135" t="s">
        <v>45</v>
      </c>
      <c r="G38" s="148" t="s">
        <v>177</v>
      </c>
      <c r="H38" s="148" t="s">
        <v>94</v>
      </c>
      <c r="I38" s="148"/>
      <c r="J38" s="148" t="s">
        <v>94</v>
      </c>
      <c r="K38" s="148"/>
      <c r="L38" s="148" t="s">
        <v>94</v>
      </c>
      <c r="M38" s="148" t="s">
        <v>266</v>
      </c>
      <c r="N38" s="148" t="s">
        <v>94</v>
      </c>
      <c r="O38" s="135" t="s">
        <v>213</v>
      </c>
      <c r="P38" s="135" t="s">
        <v>203</v>
      </c>
      <c r="Q38" s="36" t="str">
        <f t="shared" si="0"/>
        <v>0x0A</v>
      </c>
      <c r="R38" s="37" t="str">
        <f t="shared" si="1"/>
        <v>0x7B</v>
      </c>
      <c r="S38" s="37" t="str">
        <f t="shared" si="8"/>
        <v>0x77</v>
      </c>
      <c r="T38" s="37" t="str">
        <f t="shared" si="2"/>
        <v>0x0A</v>
      </c>
      <c r="U38" s="37" t="str">
        <f t="shared" si="3"/>
        <v>0x00</v>
      </c>
      <c r="V38" s="38" t="str">
        <f t="shared" si="4"/>
        <v>0xFF</v>
      </c>
      <c r="W38" s="40">
        <v>0</v>
      </c>
      <c r="X38" s="39">
        <v>0</v>
      </c>
      <c r="Y38" s="39">
        <v>0</v>
      </c>
      <c r="Z38" s="39">
        <v>0</v>
      </c>
      <c r="AA38" s="39">
        <v>1</v>
      </c>
      <c r="AB38" s="5">
        <v>0</v>
      </c>
      <c r="AC38" s="5">
        <v>1</v>
      </c>
      <c r="AD38" s="41">
        <v>0</v>
      </c>
      <c r="AE38" s="6">
        <v>0</v>
      </c>
      <c r="AF38" s="5">
        <v>1</v>
      </c>
      <c r="AG38" s="40">
        <v>1</v>
      </c>
      <c r="AH38" s="40">
        <v>1</v>
      </c>
      <c r="AI38" s="39">
        <v>1</v>
      </c>
      <c r="AJ38" s="39">
        <v>0</v>
      </c>
      <c r="AK38" s="39">
        <v>1</v>
      </c>
      <c r="AL38" s="41">
        <v>1</v>
      </c>
      <c r="AM38" s="42">
        <v>0</v>
      </c>
      <c r="AN38" s="4">
        <v>1</v>
      </c>
      <c r="AO38" s="7">
        <v>1</v>
      </c>
      <c r="AP38" s="295">
        <v>1</v>
      </c>
      <c r="AQ38" s="5">
        <v>0</v>
      </c>
      <c r="AR38" s="5">
        <v>1</v>
      </c>
      <c r="AS38" s="5">
        <v>1</v>
      </c>
      <c r="AT38" s="41">
        <v>1</v>
      </c>
      <c r="AU38" s="6">
        <v>0</v>
      </c>
      <c r="AV38" s="5">
        <v>0</v>
      </c>
      <c r="AW38" s="4">
        <v>0</v>
      </c>
      <c r="AX38" s="4">
        <v>0</v>
      </c>
      <c r="AY38" s="4">
        <v>1</v>
      </c>
      <c r="AZ38" s="4">
        <v>0</v>
      </c>
      <c r="BA38" s="4">
        <v>1</v>
      </c>
      <c r="BB38" s="43">
        <v>0</v>
      </c>
      <c r="BC38" s="42">
        <v>0</v>
      </c>
      <c r="BD38" s="44">
        <v>0</v>
      </c>
      <c r="BE38" s="44">
        <v>0</v>
      </c>
      <c r="BF38" s="44">
        <v>0</v>
      </c>
      <c r="BG38" s="45">
        <v>0</v>
      </c>
      <c r="BH38" s="44">
        <v>0</v>
      </c>
      <c r="BI38" s="44">
        <v>0</v>
      </c>
      <c r="BJ38" s="43">
        <v>0</v>
      </c>
      <c r="BK38" s="46">
        <v>1</v>
      </c>
      <c r="BL38" s="47">
        <v>1</v>
      </c>
      <c r="BM38" s="47">
        <v>1</v>
      </c>
      <c r="BN38" s="47">
        <v>1</v>
      </c>
      <c r="BO38" s="47">
        <v>1</v>
      </c>
      <c r="BP38" s="47">
        <v>1</v>
      </c>
      <c r="BQ38" s="48">
        <v>1</v>
      </c>
      <c r="BR38" s="49">
        <v>1</v>
      </c>
      <c r="BS38" s="50"/>
      <c r="BT38" s="51" t="str">
        <f t="shared" si="5"/>
        <v>0x21</v>
      </c>
      <c r="BU38" s="51" t="str">
        <f t="shared" si="6"/>
        <v>0x0</v>
      </c>
      <c r="BV38" s="52" t="str">
        <f t="shared" si="7"/>
        <v>0x0</v>
      </c>
      <c r="BW38" s="44">
        <v>0</v>
      </c>
      <c r="BX38" s="40">
        <v>0</v>
      </c>
      <c r="BY38" s="40">
        <v>1</v>
      </c>
      <c r="BZ38" s="40">
        <v>0</v>
      </c>
      <c r="CA38" s="53">
        <v>0</v>
      </c>
      <c r="CB38" s="53">
        <v>0</v>
      </c>
      <c r="CC38" s="53">
        <v>0</v>
      </c>
      <c r="CD38" s="54">
        <v>1</v>
      </c>
      <c r="CE38" s="55">
        <v>0</v>
      </c>
      <c r="CF38" s="56">
        <v>0</v>
      </c>
      <c r="CG38" s="56">
        <v>0</v>
      </c>
      <c r="CH38" s="40">
        <v>0</v>
      </c>
      <c r="CI38" s="40">
        <v>0</v>
      </c>
      <c r="CJ38" s="40">
        <v>0</v>
      </c>
      <c r="CK38" s="40">
        <v>0</v>
      </c>
      <c r="CL38" s="57">
        <v>0</v>
      </c>
      <c r="CM38" s="42">
        <v>0</v>
      </c>
      <c r="CN38" s="44">
        <v>0</v>
      </c>
      <c r="CO38" s="44">
        <v>0</v>
      </c>
      <c r="CP38" s="44">
        <v>0</v>
      </c>
      <c r="CQ38" s="44">
        <v>0</v>
      </c>
      <c r="CR38" s="44">
        <v>0</v>
      </c>
      <c r="CS38" s="44">
        <v>0</v>
      </c>
      <c r="CT38" s="43">
        <v>0</v>
      </c>
      <c r="CU38" s="8"/>
      <c r="CV38" s="132" t="s">
        <v>94</v>
      </c>
      <c r="CW38" s="132" t="s">
        <v>94</v>
      </c>
      <c r="CX38" s="133" t="s">
        <v>94</v>
      </c>
      <c r="CY38" s="133" t="s">
        <v>94</v>
      </c>
    </row>
    <row r="39" spans="1:103" ht="15" x14ac:dyDescent="0.2">
      <c r="A39" s="240">
        <v>33</v>
      </c>
      <c r="B39" s="290" t="s">
        <v>245</v>
      </c>
      <c r="C39" s="148" t="s">
        <v>257</v>
      </c>
      <c r="D39" s="148" t="s">
        <v>216</v>
      </c>
      <c r="E39" s="135" t="s">
        <v>212</v>
      </c>
      <c r="F39" s="135" t="s">
        <v>45</v>
      </c>
      <c r="G39" s="148" t="s">
        <v>270</v>
      </c>
      <c r="H39" s="148"/>
      <c r="I39" s="148"/>
      <c r="J39" s="148" t="s">
        <v>94</v>
      </c>
      <c r="K39" s="148"/>
      <c r="L39" s="148"/>
      <c r="M39" s="148" t="s">
        <v>266</v>
      </c>
      <c r="N39" s="148"/>
      <c r="O39" s="135"/>
      <c r="P39" s="135" t="s">
        <v>204</v>
      </c>
      <c r="Q39" s="36" t="str">
        <f t="shared" si="0"/>
        <v>0x02</v>
      </c>
      <c r="R39" s="37" t="str">
        <f t="shared" si="1"/>
        <v>0x7B</v>
      </c>
      <c r="S39" s="37" t="str">
        <f t="shared" si="8"/>
        <v>0x66</v>
      </c>
      <c r="T39" s="37" t="str">
        <f t="shared" si="2"/>
        <v>0x0A</v>
      </c>
      <c r="U39" s="37" t="str">
        <f t="shared" si="3"/>
        <v>0x00</v>
      </c>
      <c r="V39" s="38" t="str">
        <f t="shared" si="4"/>
        <v>0xFF</v>
      </c>
      <c r="W39" s="40">
        <v>0</v>
      </c>
      <c r="X39" s="39">
        <v>0</v>
      </c>
      <c r="Y39" s="39">
        <v>0</v>
      </c>
      <c r="Z39" s="39">
        <v>0</v>
      </c>
      <c r="AA39" s="39">
        <v>0</v>
      </c>
      <c r="AB39" s="5">
        <v>0</v>
      </c>
      <c r="AC39" s="5">
        <v>1</v>
      </c>
      <c r="AD39" s="41">
        <v>0</v>
      </c>
      <c r="AE39" s="6">
        <v>0</v>
      </c>
      <c r="AF39" s="5">
        <v>1</v>
      </c>
      <c r="AG39" s="40">
        <v>1</v>
      </c>
      <c r="AH39" s="40">
        <v>1</v>
      </c>
      <c r="AI39" s="39">
        <v>1</v>
      </c>
      <c r="AJ39" s="39">
        <v>0</v>
      </c>
      <c r="AK39" s="39">
        <v>1</v>
      </c>
      <c r="AL39" s="41">
        <v>1</v>
      </c>
      <c r="AM39" s="42">
        <v>0</v>
      </c>
      <c r="AN39" s="4">
        <v>1</v>
      </c>
      <c r="AO39" s="7">
        <v>1</v>
      </c>
      <c r="AP39" s="4">
        <v>0</v>
      </c>
      <c r="AQ39" s="5">
        <v>0</v>
      </c>
      <c r="AR39" s="5">
        <v>1</v>
      </c>
      <c r="AS39" s="5">
        <v>1</v>
      </c>
      <c r="AT39" s="41">
        <v>0</v>
      </c>
      <c r="AU39" s="6">
        <v>0</v>
      </c>
      <c r="AV39" s="5">
        <v>0</v>
      </c>
      <c r="AW39" s="4">
        <v>0</v>
      </c>
      <c r="AX39" s="4">
        <v>0</v>
      </c>
      <c r="AY39" s="4">
        <v>1</v>
      </c>
      <c r="AZ39" s="4">
        <v>0</v>
      </c>
      <c r="BA39" s="4">
        <v>1</v>
      </c>
      <c r="BB39" s="43">
        <v>0</v>
      </c>
      <c r="BC39" s="42">
        <v>0</v>
      </c>
      <c r="BD39" s="44">
        <v>0</v>
      </c>
      <c r="BE39" s="44">
        <v>0</v>
      </c>
      <c r="BF39" s="44">
        <v>0</v>
      </c>
      <c r="BG39" s="45">
        <v>0</v>
      </c>
      <c r="BH39" s="44">
        <v>0</v>
      </c>
      <c r="BI39" s="44">
        <v>0</v>
      </c>
      <c r="BJ39" s="43">
        <v>0</v>
      </c>
      <c r="BK39" s="46">
        <v>1</v>
      </c>
      <c r="BL39" s="47">
        <v>1</v>
      </c>
      <c r="BM39" s="47">
        <v>1</v>
      </c>
      <c r="BN39" s="47">
        <v>1</v>
      </c>
      <c r="BO39" s="47">
        <v>1</v>
      </c>
      <c r="BP39" s="47">
        <v>1</v>
      </c>
      <c r="BQ39" s="48">
        <v>1</v>
      </c>
      <c r="BR39" s="49">
        <v>1</v>
      </c>
      <c r="BS39" s="50"/>
      <c r="BT39" s="51" t="str">
        <f t="shared" si="5"/>
        <v>0x21</v>
      </c>
      <c r="BU39" s="51" t="str">
        <f t="shared" si="6"/>
        <v>0x0</v>
      </c>
      <c r="BV39" s="52" t="str">
        <f t="shared" si="7"/>
        <v>0x0</v>
      </c>
      <c r="BW39" s="44">
        <v>0</v>
      </c>
      <c r="BX39" s="40">
        <v>0</v>
      </c>
      <c r="BY39" s="40">
        <v>1</v>
      </c>
      <c r="BZ39" s="40">
        <v>0</v>
      </c>
      <c r="CA39" s="53">
        <v>0</v>
      </c>
      <c r="CB39" s="53">
        <v>0</v>
      </c>
      <c r="CC39" s="53">
        <v>0</v>
      </c>
      <c r="CD39" s="54">
        <v>1</v>
      </c>
      <c r="CE39" s="55">
        <v>0</v>
      </c>
      <c r="CF39" s="56">
        <v>0</v>
      </c>
      <c r="CG39" s="56">
        <v>0</v>
      </c>
      <c r="CH39" s="40">
        <v>0</v>
      </c>
      <c r="CI39" s="40">
        <v>0</v>
      </c>
      <c r="CJ39" s="40">
        <v>0</v>
      </c>
      <c r="CK39" s="40">
        <v>0</v>
      </c>
      <c r="CL39" s="57">
        <v>0</v>
      </c>
      <c r="CM39" s="42">
        <v>0</v>
      </c>
      <c r="CN39" s="44">
        <v>0</v>
      </c>
      <c r="CO39" s="44">
        <v>0</v>
      </c>
      <c r="CP39" s="44">
        <v>0</v>
      </c>
      <c r="CQ39" s="44">
        <v>0</v>
      </c>
      <c r="CR39" s="44">
        <v>0</v>
      </c>
      <c r="CS39" s="44">
        <v>0</v>
      </c>
      <c r="CT39" s="43">
        <v>0</v>
      </c>
      <c r="CU39" s="8"/>
      <c r="CV39" s="132" t="s">
        <v>94</v>
      </c>
      <c r="CW39" s="132"/>
      <c r="CX39" s="133"/>
      <c r="CY39" s="133"/>
    </row>
    <row r="40" spans="1:103" ht="15" x14ac:dyDescent="0.2">
      <c r="A40" s="240">
        <v>34</v>
      </c>
      <c r="B40" s="290" t="s">
        <v>246</v>
      </c>
      <c r="C40" s="148" t="s">
        <v>257</v>
      </c>
      <c r="D40" s="148" t="s">
        <v>230</v>
      </c>
      <c r="E40" s="135" t="s">
        <v>212</v>
      </c>
      <c r="F40" s="135" t="s">
        <v>45</v>
      </c>
      <c r="G40" s="148" t="s">
        <v>270</v>
      </c>
      <c r="H40" s="148"/>
      <c r="I40" s="148"/>
      <c r="J40" s="148"/>
      <c r="K40" s="148" t="s">
        <v>209</v>
      </c>
      <c r="L40" s="148"/>
      <c r="M40" s="148" t="s">
        <v>267</v>
      </c>
      <c r="N40" s="148"/>
      <c r="O40" s="135"/>
      <c r="P40" s="135" t="s">
        <v>204</v>
      </c>
      <c r="Q40" s="36" t="str">
        <f t="shared" si="0"/>
        <v>0x01</v>
      </c>
      <c r="R40" s="37" t="str">
        <f t="shared" si="1"/>
        <v>0x6B</v>
      </c>
      <c r="S40" s="37" t="str">
        <f t="shared" si="8"/>
        <v>0x66</v>
      </c>
      <c r="T40" s="37" t="str">
        <f t="shared" si="2"/>
        <v>0x04</v>
      </c>
      <c r="U40" s="37" t="str">
        <f t="shared" si="3"/>
        <v>0x00</v>
      </c>
      <c r="V40" s="38" t="str">
        <f t="shared" si="4"/>
        <v>0xFF</v>
      </c>
      <c r="W40" s="40">
        <v>0</v>
      </c>
      <c r="X40" s="39">
        <v>0</v>
      </c>
      <c r="Y40" s="39">
        <v>0</v>
      </c>
      <c r="Z40" s="39">
        <v>0</v>
      </c>
      <c r="AA40" s="39">
        <v>0</v>
      </c>
      <c r="AB40" s="5">
        <v>0</v>
      </c>
      <c r="AC40" s="5">
        <v>0</v>
      </c>
      <c r="AD40" s="41">
        <v>1</v>
      </c>
      <c r="AE40" s="6">
        <v>0</v>
      </c>
      <c r="AF40" s="5">
        <v>1</v>
      </c>
      <c r="AG40" s="40">
        <v>1</v>
      </c>
      <c r="AH40" s="40">
        <v>0</v>
      </c>
      <c r="AI40" s="39">
        <v>1</v>
      </c>
      <c r="AJ40" s="39">
        <v>0</v>
      </c>
      <c r="AK40" s="39">
        <v>1</v>
      </c>
      <c r="AL40" s="41">
        <v>1</v>
      </c>
      <c r="AM40" s="42">
        <v>0</v>
      </c>
      <c r="AN40" s="4">
        <v>1</v>
      </c>
      <c r="AO40" s="7">
        <v>1</v>
      </c>
      <c r="AP40" s="4">
        <v>0</v>
      </c>
      <c r="AQ40" s="5">
        <v>0</v>
      </c>
      <c r="AR40" s="5">
        <v>1</v>
      </c>
      <c r="AS40" s="5">
        <v>1</v>
      </c>
      <c r="AT40" s="41">
        <v>0</v>
      </c>
      <c r="AU40" s="6">
        <v>0</v>
      </c>
      <c r="AV40" s="5">
        <v>0</v>
      </c>
      <c r="AW40" s="4">
        <v>0</v>
      </c>
      <c r="AX40" s="4">
        <v>0</v>
      </c>
      <c r="AY40" s="4">
        <v>0</v>
      </c>
      <c r="AZ40" s="4">
        <v>1</v>
      </c>
      <c r="BA40" s="4">
        <v>0</v>
      </c>
      <c r="BB40" s="43">
        <v>0</v>
      </c>
      <c r="BC40" s="42">
        <v>0</v>
      </c>
      <c r="BD40" s="44">
        <v>0</v>
      </c>
      <c r="BE40" s="44">
        <v>0</v>
      </c>
      <c r="BF40" s="44">
        <v>0</v>
      </c>
      <c r="BG40" s="45">
        <v>0</v>
      </c>
      <c r="BH40" s="44">
        <v>0</v>
      </c>
      <c r="BI40" s="44">
        <v>0</v>
      </c>
      <c r="BJ40" s="43">
        <v>0</v>
      </c>
      <c r="BK40" s="46">
        <v>1</v>
      </c>
      <c r="BL40" s="47">
        <v>1</v>
      </c>
      <c r="BM40" s="47">
        <v>1</v>
      </c>
      <c r="BN40" s="47">
        <v>1</v>
      </c>
      <c r="BO40" s="47">
        <v>1</v>
      </c>
      <c r="BP40" s="47">
        <v>1</v>
      </c>
      <c r="BQ40" s="48">
        <v>1</v>
      </c>
      <c r="BR40" s="49">
        <v>1</v>
      </c>
      <c r="BS40" s="50"/>
      <c r="BT40" s="51" t="str">
        <f t="shared" si="5"/>
        <v>0x21</v>
      </c>
      <c r="BU40" s="51" t="str">
        <f t="shared" si="6"/>
        <v>0x0</v>
      </c>
      <c r="BV40" s="52" t="str">
        <f t="shared" si="7"/>
        <v>0x0</v>
      </c>
      <c r="BW40" s="44">
        <v>0</v>
      </c>
      <c r="BX40" s="40">
        <v>0</v>
      </c>
      <c r="BY40" s="40">
        <v>1</v>
      </c>
      <c r="BZ40" s="40">
        <v>0</v>
      </c>
      <c r="CA40" s="53">
        <v>0</v>
      </c>
      <c r="CB40" s="53">
        <v>0</v>
      </c>
      <c r="CC40" s="53">
        <v>0</v>
      </c>
      <c r="CD40" s="54">
        <v>1</v>
      </c>
      <c r="CE40" s="55">
        <v>0</v>
      </c>
      <c r="CF40" s="56">
        <v>0</v>
      </c>
      <c r="CG40" s="56">
        <v>0</v>
      </c>
      <c r="CH40" s="40">
        <v>0</v>
      </c>
      <c r="CI40" s="40">
        <v>0</v>
      </c>
      <c r="CJ40" s="40">
        <v>0</v>
      </c>
      <c r="CK40" s="40">
        <v>0</v>
      </c>
      <c r="CL40" s="57">
        <v>0</v>
      </c>
      <c r="CM40" s="42">
        <v>0</v>
      </c>
      <c r="CN40" s="44">
        <v>0</v>
      </c>
      <c r="CO40" s="44">
        <v>0</v>
      </c>
      <c r="CP40" s="44">
        <v>0</v>
      </c>
      <c r="CQ40" s="44">
        <v>0</v>
      </c>
      <c r="CR40" s="44">
        <v>0</v>
      </c>
      <c r="CS40" s="44">
        <v>0</v>
      </c>
      <c r="CT40" s="43">
        <v>0</v>
      </c>
      <c r="CU40" s="8"/>
      <c r="CV40" s="132" t="s">
        <v>94</v>
      </c>
      <c r="CW40" s="132"/>
      <c r="CX40" s="133"/>
      <c r="CY40" s="133"/>
    </row>
    <row r="41" spans="1:103" ht="15" x14ac:dyDescent="0.2">
      <c r="A41" s="240">
        <v>35</v>
      </c>
      <c r="B41" s="290" t="s">
        <v>247</v>
      </c>
      <c r="C41" s="148" t="s">
        <v>257</v>
      </c>
      <c r="D41" s="148" t="s">
        <v>230</v>
      </c>
      <c r="E41" s="135" t="s">
        <v>212</v>
      </c>
      <c r="F41" s="135" t="s">
        <v>45</v>
      </c>
      <c r="G41" s="148" t="s">
        <v>270</v>
      </c>
      <c r="H41" s="148"/>
      <c r="I41" s="148"/>
      <c r="J41" s="148" t="s">
        <v>94</v>
      </c>
      <c r="K41" s="148"/>
      <c r="L41" s="148"/>
      <c r="M41" s="148" t="s">
        <v>267</v>
      </c>
      <c r="N41" s="148"/>
      <c r="O41" s="135"/>
      <c r="P41" s="135" t="s">
        <v>204</v>
      </c>
      <c r="Q41" s="36" t="str">
        <f t="shared" si="0"/>
        <v>0x02</v>
      </c>
      <c r="R41" s="37" t="str">
        <f t="shared" si="1"/>
        <v>0x7B</v>
      </c>
      <c r="S41" s="37" t="str">
        <f t="shared" si="8"/>
        <v>0x66</v>
      </c>
      <c r="T41" s="37" t="str">
        <f t="shared" si="2"/>
        <v>0x08</v>
      </c>
      <c r="U41" s="37" t="str">
        <f t="shared" si="3"/>
        <v>0x00</v>
      </c>
      <c r="V41" s="38" t="str">
        <f t="shared" si="4"/>
        <v>0xFF</v>
      </c>
      <c r="W41" s="40">
        <v>0</v>
      </c>
      <c r="X41" s="39">
        <v>0</v>
      </c>
      <c r="Y41" s="39">
        <v>0</v>
      </c>
      <c r="Z41" s="39">
        <v>0</v>
      </c>
      <c r="AA41" s="39">
        <v>0</v>
      </c>
      <c r="AB41" s="5">
        <v>0</v>
      </c>
      <c r="AC41" s="5">
        <v>1</v>
      </c>
      <c r="AD41" s="41">
        <v>0</v>
      </c>
      <c r="AE41" s="6">
        <v>0</v>
      </c>
      <c r="AF41" s="5">
        <v>1</v>
      </c>
      <c r="AG41" s="40">
        <v>1</v>
      </c>
      <c r="AH41" s="40">
        <v>1</v>
      </c>
      <c r="AI41" s="39">
        <v>1</v>
      </c>
      <c r="AJ41" s="39">
        <v>0</v>
      </c>
      <c r="AK41" s="39">
        <v>1</v>
      </c>
      <c r="AL41" s="41">
        <v>1</v>
      </c>
      <c r="AM41" s="42">
        <v>0</v>
      </c>
      <c r="AN41" s="4">
        <v>1</v>
      </c>
      <c r="AO41" s="7">
        <v>1</v>
      </c>
      <c r="AP41" s="4">
        <v>0</v>
      </c>
      <c r="AQ41" s="5">
        <v>0</v>
      </c>
      <c r="AR41" s="5">
        <v>1</v>
      </c>
      <c r="AS41" s="5">
        <v>1</v>
      </c>
      <c r="AT41" s="41">
        <v>0</v>
      </c>
      <c r="AU41" s="6">
        <v>0</v>
      </c>
      <c r="AV41" s="5">
        <v>0</v>
      </c>
      <c r="AW41" s="4">
        <v>0</v>
      </c>
      <c r="AX41" s="4">
        <v>0</v>
      </c>
      <c r="AY41" s="4">
        <v>1</v>
      </c>
      <c r="AZ41" s="4">
        <v>0</v>
      </c>
      <c r="BA41" s="4">
        <v>0</v>
      </c>
      <c r="BB41" s="43">
        <v>0</v>
      </c>
      <c r="BC41" s="42">
        <v>0</v>
      </c>
      <c r="BD41" s="44">
        <v>0</v>
      </c>
      <c r="BE41" s="44">
        <v>0</v>
      </c>
      <c r="BF41" s="44">
        <v>0</v>
      </c>
      <c r="BG41" s="45">
        <v>0</v>
      </c>
      <c r="BH41" s="44">
        <v>0</v>
      </c>
      <c r="BI41" s="44">
        <v>0</v>
      </c>
      <c r="BJ41" s="43">
        <v>0</v>
      </c>
      <c r="BK41" s="46">
        <v>1</v>
      </c>
      <c r="BL41" s="47">
        <v>1</v>
      </c>
      <c r="BM41" s="47">
        <v>1</v>
      </c>
      <c r="BN41" s="47">
        <v>1</v>
      </c>
      <c r="BO41" s="47">
        <v>1</v>
      </c>
      <c r="BP41" s="47">
        <v>1</v>
      </c>
      <c r="BQ41" s="48">
        <v>1</v>
      </c>
      <c r="BR41" s="49">
        <v>1</v>
      </c>
      <c r="BS41" s="50"/>
      <c r="BT41" s="51" t="str">
        <f t="shared" si="5"/>
        <v>0x21</v>
      </c>
      <c r="BU41" s="51" t="str">
        <f t="shared" si="6"/>
        <v>0x0</v>
      </c>
      <c r="BV41" s="52" t="str">
        <f t="shared" si="7"/>
        <v>0x0</v>
      </c>
      <c r="BW41" s="44">
        <v>0</v>
      </c>
      <c r="BX41" s="40">
        <v>0</v>
      </c>
      <c r="BY41" s="40">
        <v>1</v>
      </c>
      <c r="BZ41" s="40">
        <v>0</v>
      </c>
      <c r="CA41" s="53">
        <v>0</v>
      </c>
      <c r="CB41" s="53">
        <v>0</v>
      </c>
      <c r="CC41" s="53">
        <v>0</v>
      </c>
      <c r="CD41" s="54">
        <v>1</v>
      </c>
      <c r="CE41" s="55">
        <v>0</v>
      </c>
      <c r="CF41" s="56">
        <v>0</v>
      </c>
      <c r="CG41" s="56">
        <v>0</v>
      </c>
      <c r="CH41" s="40">
        <v>0</v>
      </c>
      <c r="CI41" s="40">
        <v>0</v>
      </c>
      <c r="CJ41" s="40">
        <v>0</v>
      </c>
      <c r="CK41" s="40">
        <v>0</v>
      </c>
      <c r="CL41" s="57">
        <v>0</v>
      </c>
      <c r="CM41" s="42">
        <v>0</v>
      </c>
      <c r="CN41" s="44">
        <v>0</v>
      </c>
      <c r="CO41" s="44">
        <v>0</v>
      </c>
      <c r="CP41" s="44">
        <v>0</v>
      </c>
      <c r="CQ41" s="44">
        <v>0</v>
      </c>
      <c r="CR41" s="44">
        <v>0</v>
      </c>
      <c r="CS41" s="44">
        <v>0</v>
      </c>
      <c r="CT41" s="43">
        <v>0</v>
      </c>
      <c r="CU41" s="8"/>
      <c r="CV41" s="132" t="s">
        <v>94</v>
      </c>
      <c r="CW41" s="132"/>
      <c r="CX41" s="133"/>
      <c r="CY41" s="133"/>
    </row>
    <row r="42" spans="1:103" ht="15" x14ac:dyDescent="0.2">
      <c r="A42" s="240">
        <v>36</v>
      </c>
      <c r="B42" s="290" t="s">
        <v>248</v>
      </c>
      <c r="C42" s="148" t="s">
        <v>257</v>
      </c>
      <c r="D42" s="148" t="s">
        <v>216</v>
      </c>
      <c r="E42" s="135" t="s">
        <v>212</v>
      </c>
      <c r="F42" s="135" t="s">
        <v>45</v>
      </c>
      <c r="G42" s="148" t="s">
        <v>270</v>
      </c>
      <c r="H42" s="148"/>
      <c r="I42" s="148"/>
      <c r="J42" s="148"/>
      <c r="K42" s="148" t="s">
        <v>209</v>
      </c>
      <c r="L42" s="148"/>
      <c r="M42" s="148" t="s">
        <v>266</v>
      </c>
      <c r="N42" s="148"/>
      <c r="O42" s="135"/>
      <c r="P42" s="135" t="s">
        <v>204</v>
      </c>
      <c r="Q42" s="254" t="str">
        <f t="shared" si="0"/>
        <v>0x01</v>
      </c>
      <c r="R42" s="255" t="str">
        <f t="shared" si="1"/>
        <v>0x6B</v>
      </c>
      <c r="S42" s="255" t="str">
        <f t="shared" si="8"/>
        <v>0x66</v>
      </c>
      <c r="T42" s="255" t="str">
        <f t="shared" si="2"/>
        <v>0x00</v>
      </c>
      <c r="U42" s="255" t="str">
        <f t="shared" si="3"/>
        <v>0x00</v>
      </c>
      <c r="V42" s="256" t="str">
        <f t="shared" si="4"/>
        <v>0xFF</v>
      </c>
      <c r="W42" s="40">
        <v>0</v>
      </c>
      <c r="X42" s="39">
        <v>0</v>
      </c>
      <c r="Y42" s="39">
        <v>0</v>
      </c>
      <c r="Z42" s="39">
        <v>0</v>
      </c>
      <c r="AA42" s="39">
        <v>0</v>
      </c>
      <c r="AB42" s="5">
        <v>0</v>
      </c>
      <c r="AC42" s="5">
        <v>0</v>
      </c>
      <c r="AD42" s="41">
        <v>1</v>
      </c>
      <c r="AE42" s="6">
        <v>0</v>
      </c>
      <c r="AF42" s="5">
        <v>1</v>
      </c>
      <c r="AG42" s="40">
        <v>1</v>
      </c>
      <c r="AH42" s="40">
        <v>0</v>
      </c>
      <c r="AI42" s="39">
        <v>1</v>
      </c>
      <c r="AJ42" s="39">
        <v>0</v>
      </c>
      <c r="AK42" s="39">
        <v>1</v>
      </c>
      <c r="AL42" s="41">
        <v>1</v>
      </c>
      <c r="AM42" s="42">
        <v>0</v>
      </c>
      <c r="AN42" s="5">
        <v>1</v>
      </c>
      <c r="AO42" s="257">
        <v>1</v>
      </c>
      <c r="AP42" s="5">
        <v>0</v>
      </c>
      <c r="AQ42" s="5">
        <v>0</v>
      </c>
      <c r="AR42" s="5">
        <v>1</v>
      </c>
      <c r="AS42" s="5">
        <v>1</v>
      </c>
      <c r="AT42" s="41">
        <v>0</v>
      </c>
      <c r="AU42" s="6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43">
        <v>0</v>
      </c>
      <c r="BC42" s="42">
        <v>0</v>
      </c>
      <c r="BD42" s="44">
        <v>0</v>
      </c>
      <c r="BE42" s="44">
        <v>0</v>
      </c>
      <c r="BF42" s="44">
        <v>0</v>
      </c>
      <c r="BG42" s="45">
        <v>0</v>
      </c>
      <c r="BH42" s="44">
        <v>0</v>
      </c>
      <c r="BI42" s="44">
        <v>0</v>
      </c>
      <c r="BJ42" s="43">
        <v>0</v>
      </c>
      <c r="BK42" s="46">
        <v>1</v>
      </c>
      <c r="BL42" s="47">
        <v>1</v>
      </c>
      <c r="BM42" s="47">
        <v>1</v>
      </c>
      <c r="BN42" s="47">
        <v>1</v>
      </c>
      <c r="BO42" s="47">
        <v>1</v>
      </c>
      <c r="BP42" s="47">
        <v>1</v>
      </c>
      <c r="BQ42" s="48">
        <v>1</v>
      </c>
      <c r="BR42" s="49">
        <v>1</v>
      </c>
      <c r="BS42" s="50"/>
      <c r="BT42" s="51" t="str">
        <f t="shared" si="5"/>
        <v>0x21</v>
      </c>
      <c r="BU42" s="51" t="str">
        <f t="shared" si="6"/>
        <v>0x0</v>
      </c>
      <c r="BV42" s="52" t="str">
        <f t="shared" si="7"/>
        <v>0x0</v>
      </c>
      <c r="BW42" s="44">
        <v>0</v>
      </c>
      <c r="BX42" s="40">
        <v>0</v>
      </c>
      <c r="BY42" s="40">
        <v>1</v>
      </c>
      <c r="BZ42" s="40">
        <v>0</v>
      </c>
      <c r="CA42" s="53">
        <v>0</v>
      </c>
      <c r="CB42" s="53">
        <v>0</v>
      </c>
      <c r="CC42" s="53">
        <v>0</v>
      </c>
      <c r="CD42" s="54">
        <v>1</v>
      </c>
      <c r="CE42" s="55">
        <v>0</v>
      </c>
      <c r="CF42" s="56">
        <v>0</v>
      </c>
      <c r="CG42" s="56">
        <v>0</v>
      </c>
      <c r="CH42" s="40">
        <v>0</v>
      </c>
      <c r="CI42" s="40">
        <v>0</v>
      </c>
      <c r="CJ42" s="40">
        <v>0</v>
      </c>
      <c r="CK42" s="40">
        <v>0</v>
      </c>
      <c r="CL42" s="57">
        <v>0</v>
      </c>
      <c r="CM42" s="42">
        <v>0</v>
      </c>
      <c r="CN42" s="44">
        <v>0</v>
      </c>
      <c r="CO42" s="44">
        <v>0</v>
      </c>
      <c r="CP42" s="44">
        <v>0</v>
      </c>
      <c r="CQ42" s="44">
        <v>0</v>
      </c>
      <c r="CR42" s="44">
        <v>0</v>
      </c>
      <c r="CS42" s="44">
        <v>0</v>
      </c>
      <c r="CT42" s="43">
        <v>0</v>
      </c>
      <c r="CU42" s="8"/>
      <c r="CV42" s="132" t="s">
        <v>94</v>
      </c>
      <c r="CW42" s="132"/>
      <c r="CX42" s="133"/>
      <c r="CY42" s="133"/>
    </row>
    <row r="43" spans="1:103" ht="15" x14ac:dyDescent="0.2">
      <c r="A43" s="240">
        <v>39</v>
      </c>
      <c r="B43" s="290" t="s">
        <v>249</v>
      </c>
      <c r="C43" s="148" t="s">
        <v>257</v>
      </c>
      <c r="D43" s="148" t="s">
        <v>207</v>
      </c>
      <c r="E43" s="135" t="s">
        <v>212</v>
      </c>
      <c r="F43" s="135" t="s">
        <v>263</v>
      </c>
      <c r="G43" s="148" t="s">
        <v>176</v>
      </c>
      <c r="H43" s="148"/>
      <c r="I43" s="148"/>
      <c r="J43" s="148"/>
      <c r="K43" s="148" t="s">
        <v>209</v>
      </c>
      <c r="L43" s="148" t="s">
        <v>94</v>
      </c>
      <c r="M43" s="148" t="s">
        <v>266</v>
      </c>
      <c r="N43" s="148"/>
      <c r="O43" s="135" t="s">
        <v>213</v>
      </c>
      <c r="P43" s="135" t="s">
        <v>203</v>
      </c>
      <c r="Q43" s="36" t="str">
        <f t="shared" si="0"/>
        <v>0x11</v>
      </c>
      <c r="R43" s="37" t="str">
        <f t="shared" si="1"/>
        <v>0x7B</v>
      </c>
      <c r="S43" s="37" t="str">
        <f t="shared" si="8"/>
        <v>0x77</v>
      </c>
      <c r="T43" s="37" t="str">
        <f t="shared" si="2"/>
        <v>0x0B</v>
      </c>
      <c r="U43" s="37" t="str">
        <f t="shared" si="3"/>
        <v>0x00</v>
      </c>
      <c r="V43" s="38" t="str">
        <f t="shared" si="4"/>
        <v>0xFF</v>
      </c>
      <c r="W43" s="40">
        <v>0</v>
      </c>
      <c r="X43" s="39">
        <v>0</v>
      </c>
      <c r="Y43" s="39">
        <v>0</v>
      </c>
      <c r="Z43" s="39">
        <v>1</v>
      </c>
      <c r="AA43" s="39">
        <v>0</v>
      </c>
      <c r="AB43" s="5">
        <v>0</v>
      </c>
      <c r="AC43" s="5">
        <v>0</v>
      </c>
      <c r="AD43" s="41">
        <v>1</v>
      </c>
      <c r="AE43" s="6">
        <v>0</v>
      </c>
      <c r="AF43" s="5">
        <v>1</v>
      </c>
      <c r="AG43" s="40">
        <v>1</v>
      </c>
      <c r="AH43" s="40">
        <v>1</v>
      </c>
      <c r="AI43" s="39">
        <v>1</v>
      </c>
      <c r="AJ43" s="39">
        <v>0</v>
      </c>
      <c r="AK43" s="39">
        <v>1</v>
      </c>
      <c r="AL43" s="41">
        <v>1</v>
      </c>
      <c r="AM43" s="42">
        <v>0</v>
      </c>
      <c r="AN43" s="4">
        <v>1</v>
      </c>
      <c r="AO43" s="7">
        <v>1</v>
      </c>
      <c r="AP43" s="295">
        <v>1</v>
      </c>
      <c r="AQ43" s="5">
        <v>0</v>
      </c>
      <c r="AR43" s="5">
        <v>1</v>
      </c>
      <c r="AS43" s="5">
        <v>1</v>
      </c>
      <c r="AT43" s="41">
        <v>1</v>
      </c>
      <c r="AU43" s="6">
        <v>0</v>
      </c>
      <c r="AV43" s="5">
        <v>0</v>
      </c>
      <c r="AW43" s="4">
        <v>0</v>
      </c>
      <c r="AX43" s="4">
        <v>0</v>
      </c>
      <c r="AY43" s="4">
        <v>1</v>
      </c>
      <c r="AZ43" s="4">
        <v>0</v>
      </c>
      <c r="BA43" s="4">
        <v>1</v>
      </c>
      <c r="BB43" s="43">
        <v>1</v>
      </c>
      <c r="BC43" s="42">
        <v>0</v>
      </c>
      <c r="BD43" s="44">
        <v>0</v>
      </c>
      <c r="BE43" s="44">
        <v>0</v>
      </c>
      <c r="BF43" s="44">
        <v>0</v>
      </c>
      <c r="BG43" s="45">
        <v>0</v>
      </c>
      <c r="BH43" s="44">
        <v>0</v>
      </c>
      <c r="BI43" s="44">
        <v>0</v>
      </c>
      <c r="BJ43" s="43">
        <v>0</v>
      </c>
      <c r="BK43" s="46">
        <v>1</v>
      </c>
      <c r="BL43" s="47">
        <v>1</v>
      </c>
      <c r="BM43" s="47">
        <v>1</v>
      </c>
      <c r="BN43" s="47">
        <v>1</v>
      </c>
      <c r="BO43" s="47">
        <v>1</v>
      </c>
      <c r="BP43" s="47">
        <v>1</v>
      </c>
      <c r="BQ43" s="48">
        <v>1</v>
      </c>
      <c r="BR43" s="49">
        <v>1</v>
      </c>
      <c r="BS43" s="50"/>
      <c r="BT43" s="51" t="str">
        <f t="shared" si="5"/>
        <v>0x21</v>
      </c>
      <c r="BU43" s="51" t="str">
        <f t="shared" si="6"/>
        <v>0x0</v>
      </c>
      <c r="BV43" s="52" t="str">
        <f t="shared" si="7"/>
        <v>0x0</v>
      </c>
      <c r="BW43" s="44">
        <v>0</v>
      </c>
      <c r="BX43" s="40">
        <v>0</v>
      </c>
      <c r="BY43" s="40">
        <v>1</v>
      </c>
      <c r="BZ43" s="40">
        <v>0</v>
      </c>
      <c r="CA43" s="53">
        <v>0</v>
      </c>
      <c r="CB43" s="53">
        <v>0</v>
      </c>
      <c r="CC43" s="53">
        <v>0</v>
      </c>
      <c r="CD43" s="54">
        <v>1</v>
      </c>
      <c r="CE43" s="55">
        <v>0</v>
      </c>
      <c r="CF43" s="56">
        <v>0</v>
      </c>
      <c r="CG43" s="56">
        <v>0</v>
      </c>
      <c r="CH43" s="40">
        <v>0</v>
      </c>
      <c r="CI43" s="40">
        <v>0</v>
      </c>
      <c r="CJ43" s="40">
        <v>0</v>
      </c>
      <c r="CK43" s="40">
        <v>0</v>
      </c>
      <c r="CL43" s="57">
        <v>0</v>
      </c>
      <c r="CM43" s="42">
        <v>0</v>
      </c>
      <c r="CN43" s="44">
        <v>0</v>
      </c>
      <c r="CO43" s="44">
        <v>0</v>
      </c>
      <c r="CP43" s="44">
        <v>0</v>
      </c>
      <c r="CQ43" s="44">
        <v>0</v>
      </c>
      <c r="CR43" s="44">
        <v>0</v>
      </c>
      <c r="CS43" s="44">
        <v>0</v>
      </c>
      <c r="CT43" s="43">
        <v>0</v>
      </c>
      <c r="CU43" s="8"/>
      <c r="CV43" s="132" t="s">
        <v>94</v>
      </c>
      <c r="CW43" s="132" t="s">
        <v>94</v>
      </c>
      <c r="CX43" s="133" t="s">
        <v>94</v>
      </c>
      <c r="CY43" s="133"/>
    </row>
    <row r="44" spans="1:103" ht="15" x14ac:dyDescent="0.2">
      <c r="A44" s="240">
        <v>40</v>
      </c>
      <c r="B44" s="290" t="s">
        <v>250</v>
      </c>
      <c r="C44" s="148" t="s">
        <v>257</v>
      </c>
      <c r="D44" s="148" t="s">
        <v>207</v>
      </c>
      <c r="E44" s="135" t="s">
        <v>208</v>
      </c>
      <c r="F44" s="135" t="s">
        <v>263</v>
      </c>
      <c r="G44" s="148" t="s">
        <v>176</v>
      </c>
      <c r="H44" s="148"/>
      <c r="I44" s="148"/>
      <c r="J44" s="148"/>
      <c r="K44" s="148" t="s">
        <v>209</v>
      </c>
      <c r="L44" s="148" t="s">
        <v>94</v>
      </c>
      <c r="M44" s="148" t="s">
        <v>266</v>
      </c>
      <c r="N44" s="148"/>
      <c r="O44" s="135" t="s">
        <v>213</v>
      </c>
      <c r="P44" s="135" t="s">
        <v>204</v>
      </c>
      <c r="Q44" s="36" t="str">
        <f t="shared" si="0"/>
        <v>0x51</v>
      </c>
      <c r="R44" s="37" t="str">
        <f t="shared" si="1"/>
        <v>0x7B</v>
      </c>
      <c r="S44" s="37" t="str">
        <f t="shared" si="8"/>
        <v>0x77</v>
      </c>
      <c r="T44" s="37" t="str">
        <f t="shared" si="2"/>
        <v>0x0B</v>
      </c>
      <c r="U44" s="37" t="str">
        <f t="shared" si="3"/>
        <v>0x00</v>
      </c>
      <c r="V44" s="38" t="str">
        <f t="shared" si="4"/>
        <v>0xFF</v>
      </c>
      <c r="W44" s="40">
        <v>0</v>
      </c>
      <c r="X44" s="39">
        <v>1</v>
      </c>
      <c r="Y44" s="39">
        <v>0</v>
      </c>
      <c r="Z44" s="39">
        <v>1</v>
      </c>
      <c r="AA44" s="39">
        <v>0</v>
      </c>
      <c r="AB44" s="5">
        <v>0</v>
      </c>
      <c r="AC44" s="5">
        <v>0</v>
      </c>
      <c r="AD44" s="41">
        <v>1</v>
      </c>
      <c r="AE44" s="6">
        <v>0</v>
      </c>
      <c r="AF44" s="5">
        <v>1</v>
      </c>
      <c r="AG44" s="40">
        <v>1</v>
      </c>
      <c r="AH44" s="40">
        <v>1</v>
      </c>
      <c r="AI44" s="39">
        <v>1</v>
      </c>
      <c r="AJ44" s="39">
        <v>0</v>
      </c>
      <c r="AK44" s="39">
        <v>1</v>
      </c>
      <c r="AL44" s="41">
        <v>1</v>
      </c>
      <c r="AM44" s="42">
        <v>0</v>
      </c>
      <c r="AN44" s="4">
        <v>1</v>
      </c>
      <c r="AO44" s="7">
        <v>1</v>
      </c>
      <c r="AP44" s="295">
        <v>1</v>
      </c>
      <c r="AQ44" s="5">
        <v>0</v>
      </c>
      <c r="AR44" s="5">
        <v>1</v>
      </c>
      <c r="AS44" s="5">
        <v>1</v>
      </c>
      <c r="AT44" s="41">
        <v>1</v>
      </c>
      <c r="AU44" s="6">
        <v>0</v>
      </c>
      <c r="AV44" s="5">
        <v>0</v>
      </c>
      <c r="AW44" s="4">
        <v>0</v>
      </c>
      <c r="AX44" s="4">
        <v>0</v>
      </c>
      <c r="AY44" s="4">
        <v>1</v>
      </c>
      <c r="AZ44" s="4">
        <v>0</v>
      </c>
      <c r="BA44" s="4">
        <v>1</v>
      </c>
      <c r="BB44" s="43">
        <v>1</v>
      </c>
      <c r="BC44" s="42">
        <v>0</v>
      </c>
      <c r="BD44" s="44">
        <v>0</v>
      </c>
      <c r="BE44" s="44">
        <v>0</v>
      </c>
      <c r="BF44" s="44">
        <v>0</v>
      </c>
      <c r="BG44" s="45">
        <v>0</v>
      </c>
      <c r="BH44" s="44">
        <v>0</v>
      </c>
      <c r="BI44" s="44">
        <v>0</v>
      </c>
      <c r="BJ44" s="43">
        <v>0</v>
      </c>
      <c r="BK44" s="46">
        <v>1</v>
      </c>
      <c r="BL44" s="47">
        <v>1</v>
      </c>
      <c r="BM44" s="47">
        <v>1</v>
      </c>
      <c r="BN44" s="47">
        <v>1</v>
      </c>
      <c r="BO44" s="47">
        <v>1</v>
      </c>
      <c r="BP44" s="47">
        <v>1</v>
      </c>
      <c r="BQ44" s="48">
        <v>1</v>
      </c>
      <c r="BR44" s="49">
        <v>1</v>
      </c>
      <c r="BS44" s="50"/>
      <c r="BT44" s="51" t="str">
        <f t="shared" si="5"/>
        <v>0x21</v>
      </c>
      <c r="BU44" s="51" t="str">
        <f t="shared" si="6"/>
        <v>0x0</v>
      </c>
      <c r="BV44" s="52" t="str">
        <f t="shared" si="7"/>
        <v>0x0</v>
      </c>
      <c r="BW44" s="44">
        <v>0</v>
      </c>
      <c r="BX44" s="40">
        <v>0</v>
      </c>
      <c r="BY44" s="40">
        <v>1</v>
      </c>
      <c r="BZ44" s="40">
        <v>0</v>
      </c>
      <c r="CA44" s="53">
        <v>0</v>
      </c>
      <c r="CB44" s="53">
        <v>0</v>
      </c>
      <c r="CC44" s="53">
        <v>0</v>
      </c>
      <c r="CD44" s="54">
        <v>1</v>
      </c>
      <c r="CE44" s="55">
        <v>0</v>
      </c>
      <c r="CF44" s="56">
        <v>0</v>
      </c>
      <c r="CG44" s="56">
        <v>0</v>
      </c>
      <c r="CH44" s="40">
        <v>0</v>
      </c>
      <c r="CI44" s="40">
        <v>0</v>
      </c>
      <c r="CJ44" s="40">
        <v>0</v>
      </c>
      <c r="CK44" s="40">
        <v>0</v>
      </c>
      <c r="CL44" s="57">
        <v>0</v>
      </c>
      <c r="CM44" s="42">
        <v>0</v>
      </c>
      <c r="CN44" s="44">
        <v>0</v>
      </c>
      <c r="CO44" s="44">
        <v>0</v>
      </c>
      <c r="CP44" s="44">
        <v>0</v>
      </c>
      <c r="CQ44" s="44">
        <v>0</v>
      </c>
      <c r="CR44" s="44">
        <v>0</v>
      </c>
      <c r="CS44" s="44">
        <v>0</v>
      </c>
      <c r="CT44" s="43">
        <v>0</v>
      </c>
      <c r="CU44" s="8"/>
      <c r="CV44" s="132" t="s">
        <v>94</v>
      </c>
      <c r="CW44" s="132" t="s">
        <v>94</v>
      </c>
      <c r="CX44" s="133" t="s">
        <v>94</v>
      </c>
      <c r="CY44" s="133"/>
    </row>
    <row r="45" spans="1:103" ht="15" x14ac:dyDescent="0.2">
      <c r="A45" s="240">
        <v>41</v>
      </c>
      <c r="B45" s="290" t="s">
        <v>251</v>
      </c>
      <c r="C45" s="148" t="s">
        <v>257</v>
      </c>
      <c r="D45" s="148" t="s">
        <v>216</v>
      </c>
      <c r="E45" s="135" t="s">
        <v>212</v>
      </c>
      <c r="F45" s="135" t="s">
        <v>45</v>
      </c>
      <c r="G45" s="148" t="s">
        <v>661</v>
      </c>
      <c r="H45" s="148" t="s">
        <v>94</v>
      </c>
      <c r="I45" s="148" t="s">
        <v>94</v>
      </c>
      <c r="J45" s="148" t="s">
        <v>94</v>
      </c>
      <c r="K45" s="148"/>
      <c r="L45" s="148" t="s">
        <v>94</v>
      </c>
      <c r="M45" s="148" t="s">
        <v>266</v>
      </c>
      <c r="N45" s="148"/>
      <c r="O45" s="135" t="s">
        <v>213</v>
      </c>
      <c r="P45" s="135" t="s">
        <v>203</v>
      </c>
      <c r="Q45" s="36" t="str">
        <f t="shared" si="0"/>
        <v>0x2A</v>
      </c>
      <c r="R45" s="37" t="str">
        <f t="shared" si="1"/>
        <v>0x7B</v>
      </c>
      <c r="S45" s="37" t="str">
        <f t="shared" si="8"/>
        <v>0x77</v>
      </c>
      <c r="T45" s="37" t="str">
        <f t="shared" si="2"/>
        <v>0x0A</v>
      </c>
      <c r="U45" s="37" t="str">
        <f t="shared" si="3"/>
        <v>0x00</v>
      </c>
      <c r="V45" s="274" t="str">
        <f t="shared" si="4"/>
        <v>0xFF</v>
      </c>
      <c r="W45" s="42">
        <v>0</v>
      </c>
      <c r="X45" s="39">
        <v>0</v>
      </c>
      <c r="Y45" s="39">
        <v>1</v>
      </c>
      <c r="Z45" s="39">
        <v>0</v>
      </c>
      <c r="AA45" s="39">
        <v>1</v>
      </c>
      <c r="AB45" s="5">
        <v>0</v>
      </c>
      <c r="AC45" s="5">
        <v>1</v>
      </c>
      <c r="AD45" s="275">
        <v>0</v>
      </c>
      <c r="AE45" s="6">
        <v>0</v>
      </c>
      <c r="AF45" s="5">
        <v>1</v>
      </c>
      <c r="AG45" s="40">
        <v>1</v>
      </c>
      <c r="AH45" s="40">
        <v>1</v>
      </c>
      <c r="AI45" s="39">
        <v>1</v>
      </c>
      <c r="AJ45" s="39">
        <v>0</v>
      </c>
      <c r="AK45" s="39">
        <v>1</v>
      </c>
      <c r="AL45" s="41">
        <v>1</v>
      </c>
      <c r="AM45" s="42">
        <v>0</v>
      </c>
      <c r="AN45" s="4">
        <v>1</v>
      </c>
      <c r="AO45" s="7">
        <v>1</v>
      </c>
      <c r="AP45" s="295">
        <v>1</v>
      </c>
      <c r="AQ45" s="5">
        <v>0</v>
      </c>
      <c r="AR45" s="5">
        <v>1</v>
      </c>
      <c r="AS45" s="5">
        <v>1</v>
      </c>
      <c r="AT45" s="41">
        <v>1</v>
      </c>
      <c r="AU45" s="6">
        <v>0</v>
      </c>
      <c r="AV45" s="5">
        <v>0</v>
      </c>
      <c r="AW45" s="4">
        <v>0</v>
      </c>
      <c r="AX45" s="4">
        <v>0</v>
      </c>
      <c r="AY45" s="4">
        <v>1</v>
      </c>
      <c r="AZ45" s="4">
        <v>0</v>
      </c>
      <c r="BA45" s="4">
        <v>1</v>
      </c>
      <c r="BB45" s="43">
        <v>0</v>
      </c>
      <c r="BC45" s="42">
        <v>0</v>
      </c>
      <c r="BD45" s="44">
        <v>0</v>
      </c>
      <c r="BE45" s="44">
        <v>0</v>
      </c>
      <c r="BF45" s="44">
        <v>0</v>
      </c>
      <c r="BG45" s="45">
        <v>0</v>
      </c>
      <c r="BH45" s="44">
        <v>0</v>
      </c>
      <c r="BI45" s="44">
        <v>0</v>
      </c>
      <c r="BJ45" s="43">
        <v>0</v>
      </c>
      <c r="BK45" s="46">
        <v>1</v>
      </c>
      <c r="BL45" s="47">
        <v>1</v>
      </c>
      <c r="BM45" s="47">
        <v>1</v>
      </c>
      <c r="BN45" s="47">
        <v>1</v>
      </c>
      <c r="BO45" s="47">
        <v>1</v>
      </c>
      <c r="BP45" s="47">
        <v>1</v>
      </c>
      <c r="BQ45" s="48">
        <v>1</v>
      </c>
      <c r="BR45" s="49">
        <v>1</v>
      </c>
      <c r="BS45" s="50"/>
      <c r="BT45" s="51" t="str">
        <f t="shared" si="5"/>
        <v>0x21</v>
      </c>
      <c r="BU45" s="51" t="str">
        <f t="shared" si="6"/>
        <v>0x0</v>
      </c>
      <c r="BV45" s="52" t="str">
        <f t="shared" si="7"/>
        <v>0x0</v>
      </c>
      <c r="BW45" s="44">
        <v>0</v>
      </c>
      <c r="BX45" s="40">
        <v>0</v>
      </c>
      <c r="BY45" s="40">
        <v>1</v>
      </c>
      <c r="BZ45" s="40">
        <v>0</v>
      </c>
      <c r="CA45" s="53">
        <v>0</v>
      </c>
      <c r="CB45" s="53">
        <v>0</v>
      </c>
      <c r="CC45" s="53">
        <v>0</v>
      </c>
      <c r="CD45" s="54">
        <v>1</v>
      </c>
      <c r="CE45" s="55">
        <v>0</v>
      </c>
      <c r="CF45" s="56">
        <v>0</v>
      </c>
      <c r="CG45" s="56">
        <v>0</v>
      </c>
      <c r="CH45" s="40">
        <v>0</v>
      </c>
      <c r="CI45" s="40">
        <v>0</v>
      </c>
      <c r="CJ45" s="40">
        <v>0</v>
      </c>
      <c r="CK45" s="40">
        <v>0</v>
      </c>
      <c r="CL45" s="57">
        <v>0</v>
      </c>
      <c r="CM45" s="42">
        <v>0</v>
      </c>
      <c r="CN45" s="44">
        <v>0</v>
      </c>
      <c r="CO45" s="44">
        <v>0</v>
      </c>
      <c r="CP45" s="44">
        <v>0</v>
      </c>
      <c r="CQ45" s="44">
        <v>0</v>
      </c>
      <c r="CR45" s="44">
        <v>0</v>
      </c>
      <c r="CS45" s="44">
        <v>0</v>
      </c>
      <c r="CT45" s="43">
        <v>0</v>
      </c>
      <c r="CU45" s="8"/>
      <c r="CV45" s="132" t="s">
        <v>94</v>
      </c>
      <c r="CW45" s="132" t="s">
        <v>94</v>
      </c>
      <c r="CX45" s="133" t="s">
        <v>94</v>
      </c>
      <c r="CY45" s="133"/>
    </row>
    <row r="46" spans="1:103" ht="15" x14ac:dyDescent="0.2">
      <c r="A46" s="240">
        <v>42</v>
      </c>
      <c r="B46" s="290" t="s">
        <v>252</v>
      </c>
      <c r="C46" s="148" t="s">
        <v>257</v>
      </c>
      <c r="D46" s="148" t="s">
        <v>216</v>
      </c>
      <c r="E46" s="135" t="s">
        <v>212</v>
      </c>
      <c r="F46" s="135" t="s">
        <v>45</v>
      </c>
      <c r="G46" s="148" t="s">
        <v>662</v>
      </c>
      <c r="H46" s="148"/>
      <c r="I46" s="148" t="s">
        <v>94</v>
      </c>
      <c r="J46" s="148" t="s">
        <v>94</v>
      </c>
      <c r="K46" s="148"/>
      <c r="L46" s="148"/>
      <c r="M46" s="148"/>
      <c r="N46" s="148"/>
      <c r="O46" s="135"/>
      <c r="P46" s="135" t="s">
        <v>203</v>
      </c>
      <c r="Q46" s="36" t="str">
        <f t="shared" si="0"/>
        <v>0x22</v>
      </c>
      <c r="R46" s="37" t="str">
        <f t="shared" si="1"/>
        <v>0x7B</v>
      </c>
      <c r="S46" s="37" t="str">
        <f t="shared" si="8"/>
        <v>0x46</v>
      </c>
      <c r="T46" s="37" t="str">
        <f t="shared" si="2"/>
        <v>0x0A</v>
      </c>
      <c r="U46" s="37" t="str">
        <f t="shared" si="3"/>
        <v>0x00</v>
      </c>
      <c r="V46" s="274" t="str">
        <f t="shared" si="4"/>
        <v>0xFF</v>
      </c>
      <c r="W46" s="42">
        <v>0</v>
      </c>
      <c r="X46" s="39">
        <v>0</v>
      </c>
      <c r="Y46" s="39">
        <v>1</v>
      </c>
      <c r="Z46" s="39">
        <v>0</v>
      </c>
      <c r="AA46" s="39">
        <v>0</v>
      </c>
      <c r="AB46" s="5">
        <v>0</v>
      </c>
      <c r="AC46" s="5">
        <v>1</v>
      </c>
      <c r="AD46" s="275">
        <v>0</v>
      </c>
      <c r="AE46" s="6">
        <v>0</v>
      </c>
      <c r="AF46" s="5">
        <v>1</v>
      </c>
      <c r="AG46" s="40">
        <v>1</v>
      </c>
      <c r="AH46" s="40">
        <v>1</v>
      </c>
      <c r="AI46" s="39">
        <v>1</v>
      </c>
      <c r="AJ46" s="39">
        <v>0</v>
      </c>
      <c r="AK46" s="39">
        <v>1</v>
      </c>
      <c r="AL46" s="275">
        <v>1</v>
      </c>
      <c r="AM46" s="42">
        <v>0</v>
      </c>
      <c r="AN46" s="4">
        <v>1</v>
      </c>
      <c r="AO46" s="7">
        <v>0</v>
      </c>
      <c r="AP46" s="4">
        <v>0</v>
      </c>
      <c r="AQ46" s="5">
        <v>0</v>
      </c>
      <c r="AR46" s="5">
        <v>1</v>
      </c>
      <c r="AS46" s="5">
        <v>1</v>
      </c>
      <c r="AT46" s="275">
        <v>0</v>
      </c>
      <c r="AU46" s="6">
        <v>0</v>
      </c>
      <c r="AV46" s="5">
        <v>0</v>
      </c>
      <c r="AW46" s="4">
        <v>0</v>
      </c>
      <c r="AX46" s="4">
        <v>0</v>
      </c>
      <c r="AY46" s="4">
        <v>1</v>
      </c>
      <c r="AZ46" s="4">
        <v>0</v>
      </c>
      <c r="BA46" s="4">
        <v>1</v>
      </c>
      <c r="BB46" s="277">
        <v>0</v>
      </c>
      <c r="BC46" s="42">
        <v>0</v>
      </c>
      <c r="BD46" s="44">
        <v>0</v>
      </c>
      <c r="BE46" s="44">
        <v>0</v>
      </c>
      <c r="BF46" s="44">
        <v>0</v>
      </c>
      <c r="BG46" s="45">
        <v>0</v>
      </c>
      <c r="BH46" s="44">
        <v>0</v>
      </c>
      <c r="BI46" s="44">
        <v>0</v>
      </c>
      <c r="BJ46" s="277">
        <v>0</v>
      </c>
      <c r="BK46" s="46">
        <v>1</v>
      </c>
      <c r="BL46" s="47">
        <v>1</v>
      </c>
      <c r="BM46" s="47">
        <v>1</v>
      </c>
      <c r="BN46" s="47">
        <v>1</v>
      </c>
      <c r="BO46" s="47">
        <v>1</v>
      </c>
      <c r="BP46" s="47">
        <v>1</v>
      </c>
      <c r="BQ46" s="48">
        <v>1</v>
      </c>
      <c r="BR46" s="279">
        <v>1</v>
      </c>
      <c r="BS46" s="283"/>
      <c r="BT46" s="51" t="str">
        <f t="shared" si="5"/>
        <v>0x21</v>
      </c>
      <c r="BU46" s="51" t="str">
        <f t="shared" si="6"/>
        <v>0x0</v>
      </c>
      <c r="BV46" s="52" t="str">
        <f t="shared" si="7"/>
        <v>0x0</v>
      </c>
      <c r="BW46" s="42">
        <v>0</v>
      </c>
      <c r="BX46" s="40">
        <v>0</v>
      </c>
      <c r="BY46" s="40">
        <v>1</v>
      </c>
      <c r="BZ46" s="40">
        <v>0</v>
      </c>
      <c r="CA46" s="53">
        <v>0</v>
      </c>
      <c r="CB46" s="53">
        <v>0</v>
      </c>
      <c r="CC46" s="53">
        <v>0</v>
      </c>
      <c r="CD46" s="54">
        <v>1</v>
      </c>
      <c r="CE46" s="55">
        <v>0</v>
      </c>
      <c r="CF46" s="56">
        <v>0</v>
      </c>
      <c r="CG46" s="56">
        <v>0</v>
      </c>
      <c r="CH46" s="40">
        <v>0</v>
      </c>
      <c r="CI46" s="40">
        <v>0</v>
      </c>
      <c r="CJ46" s="40">
        <v>0</v>
      </c>
      <c r="CK46" s="40">
        <v>0</v>
      </c>
      <c r="CL46" s="57">
        <v>0</v>
      </c>
      <c r="CM46" s="42">
        <v>0</v>
      </c>
      <c r="CN46" s="44">
        <v>0</v>
      </c>
      <c r="CO46" s="44">
        <v>0</v>
      </c>
      <c r="CP46" s="44">
        <v>0</v>
      </c>
      <c r="CQ46" s="44">
        <v>0</v>
      </c>
      <c r="CR46" s="44">
        <v>0</v>
      </c>
      <c r="CS46" s="44">
        <v>0</v>
      </c>
      <c r="CT46" s="43">
        <v>0</v>
      </c>
      <c r="CU46" s="8"/>
      <c r="CV46" s="132" t="s">
        <v>94</v>
      </c>
      <c r="CW46" s="132"/>
      <c r="CX46" s="133"/>
      <c r="CY46" s="133"/>
    </row>
    <row r="47" spans="1:103" ht="15" x14ac:dyDescent="0.2">
      <c r="A47" s="240">
        <v>43</v>
      </c>
      <c r="B47" s="291" t="s">
        <v>253</v>
      </c>
      <c r="C47" s="239" t="s">
        <v>257</v>
      </c>
      <c r="D47" s="239" t="s">
        <v>216</v>
      </c>
      <c r="E47" s="238" t="s">
        <v>208</v>
      </c>
      <c r="F47" s="238" t="s">
        <v>45</v>
      </c>
      <c r="G47" s="239" t="s">
        <v>662</v>
      </c>
      <c r="H47" s="239"/>
      <c r="I47" s="239" t="s">
        <v>94</v>
      </c>
      <c r="J47" s="239"/>
      <c r="K47" s="239" t="s">
        <v>217</v>
      </c>
      <c r="L47" s="239" t="s">
        <v>94</v>
      </c>
      <c r="M47" s="239" t="s">
        <v>266</v>
      </c>
      <c r="N47" s="239"/>
      <c r="O47" s="238"/>
      <c r="P47" s="271" t="s">
        <v>203</v>
      </c>
      <c r="Q47" s="36" t="str">
        <f t="shared" si="0"/>
        <v>0x61</v>
      </c>
      <c r="R47" s="37" t="str">
        <f t="shared" si="1"/>
        <v>0x7B</v>
      </c>
      <c r="S47" s="37" t="str">
        <f t="shared" si="8"/>
        <v>0x67</v>
      </c>
      <c r="T47" s="37" t="str">
        <f t="shared" si="2"/>
        <v>0x0A</v>
      </c>
      <c r="U47" s="37" t="str">
        <f t="shared" si="3"/>
        <v>0x00</v>
      </c>
      <c r="V47" s="274" t="str">
        <f t="shared" si="4"/>
        <v>0xFF</v>
      </c>
      <c r="W47" s="280">
        <v>0</v>
      </c>
      <c r="X47" s="264">
        <v>1</v>
      </c>
      <c r="Y47" s="264">
        <v>1</v>
      </c>
      <c r="Z47" s="264">
        <v>0</v>
      </c>
      <c r="AA47" s="264">
        <v>0</v>
      </c>
      <c r="AB47" s="265">
        <v>0</v>
      </c>
      <c r="AC47" s="265">
        <v>0</v>
      </c>
      <c r="AD47" s="276">
        <v>1</v>
      </c>
      <c r="AE47" s="281">
        <v>0</v>
      </c>
      <c r="AF47" s="265">
        <v>1</v>
      </c>
      <c r="AG47" s="263">
        <v>1</v>
      </c>
      <c r="AH47" s="263">
        <v>1</v>
      </c>
      <c r="AI47" s="264">
        <v>1</v>
      </c>
      <c r="AJ47" s="264">
        <v>0</v>
      </c>
      <c r="AK47" s="264">
        <v>1</v>
      </c>
      <c r="AL47" s="276">
        <v>1</v>
      </c>
      <c r="AM47" s="280">
        <v>0</v>
      </c>
      <c r="AN47" s="266">
        <v>1</v>
      </c>
      <c r="AO47" s="267">
        <v>1</v>
      </c>
      <c r="AP47" s="266">
        <v>0</v>
      </c>
      <c r="AQ47" s="265">
        <v>0</v>
      </c>
      <c r="AR47" s="265">
        <v>1</v>
      </c>
      <c r="AS47" s="265">
        <v>1</v>
      </c>
      <c r="AT47" s="276">
        <v>1</v>
      </c>
      <c r="AU47" s="281">
        <v>0</v>
      </c>
      <c r="AV47" s="265">
        <v>0</v>
      </c>
      <c r="AW47" s="266">
        <v>0</v>
      </c>
      <c r="AX47" s="266">
        <v>0</v>
      </c>
      <c r="AY47" s="266">
        <v>1</v>
      </c>
      <c r="AZ47" s="266">
        <v>0</v>
      </c>
      <c r="BA47" s="266">
        <v>1</v>
      </c>
      <c r="BB47" s="278">
        <v>0</v>
      </c>
      <c r="BC47" s="280">
        <v>0</v>
      </c>
      <c r="BD47" s="263">
        <v>0</v>
      </c>
      <c r="BE47" s="263">
        <v>0</v>
      </c>
      <c r="BF47" s="263">
        <v>0</v>
      </c>
      <c r="BG47" s="268">
        <v>0</v>
      </c>
      <c r="BH47" s="263">
        <v>0</v>
      </c>
      <c r="BI47" s="263">
        <v>0</v>
      </c>
      <c r="BJ47" s="278">
        <v>0</v>
      </c>
      <c r="BK47" s="282">
        <v>1</v>
      </c>
      <c r="BL47" s="269">
        <v>1</v>
      </c>
      <c r="BM47" s="269">
        <v>1</v>
      </c>
      <c r="BN47" s="269">
        <v>1</v>
      </c>
      <c r="BO47" s="269">
        <v>1</v>
      </c>
      <c r="BP47" s="269">
        <v>1</v>
      </c>
      <c r="BQ47" s="269">
        <v>1</v>
      </c>
      <c r="BR47" s="270">
        <v>1</v>
      </c>
      <c r="BS47" s="283"/>
      <c r="BT47" s="51" t="str">
        <f t="shared" si="5"/>
        <v>0x21</v>
      </c>
      <c r="BU47" s="51" t="str">
        <f t="shared" si="6"/>
        <v>0x0</v>
      </c>
      <c r="BV47" s="52" t="str">
        <f t="shared" si="7"/>
        <v>0x0</v>
      </c>
      <c r="BW47" s="42">
        <v>0</v>
      </c>
      <c r="BX47" s="40">
        <v>0</v>
      </c>
      <c r="BY47" s="40">
        <v>1</v>
      </c>
      <c r="BZ47" s="40">
        <v>0</v>
      </c>
      <c r="CA47" s="53">
        <v>0</v>
      </c>
      <c r="CB47" s="53">
        <v>0</v>
      </c>
      <c r="CC47" s="53">
        <v>0</v>
      </c>
      <c r="CD47" s="54">
        <v>1</v>
      </c>
      <c r="CE47" s="55">
        <v>0</v>
      </c>
      <c r="CF47" s="56">
        <v>0</v>
      </c>
      <c r="CG47" s="56">
        <v>0</v>
      </c>
      <c r="CH47" s="40">
        <v>0</v>
      </c>
      <c r="CI47" s="40">
        <v>0</v>
      </c>
      <c r="CJ47" s="40">
        <v>0</v>
      </c>
      <c r="CK47" s="40">
        <v>0</v>
      </c>
      <c r="CL47" s="57">
        <v>0</v>
      </c>
      <c r="CM47" s="42">
        <v>0</v>
      </c>
      <c r="CN47" s="44">
        <v>0</v>
      </c>
      <c r="CO47" s="44">
        <v>0</v>
      </c>
      <c r="CP47" s="44">
        <v>0</v>
      </c>
      <c r="CQ47" s="44">
        <v>0</v>
      </c>
      <c r="CR47" s="44">
        <v>0</v>
      </c>
      <c r="CS47" s="44">
        <v>0</v>
      </c>
      <c r="CT47" s="43">
        <v>0</v>
      </c>
      <c r="CU47" s="289"/>
      <c r="CV47" s="245" t="s">
        <v>94</v>
      </c>
      <c r="CW47" s="245" t="s">
        <v>94</v>
      </c>
      <c r="CX47" s="246"/>
      <c r="CY47" s="246"/>
    </row>
    <row r="48" spans="1:103" ht="15" x14ac:dyDescent="0.2">
      <c r="A48" s="240">
        <v>44</v>
      </c>
      <c r="B48" s="241" t="s">
        <v>254</v>
      </c>
      <c r="C48" s="242" t="s">
        <v>257</v>
      </c>
      <c r="D48" s="242" t="s">
        <v>216</v>
      </c>
      <c r="E48" s="241" t="s">
        <v>208</v>
      </c>
      <c r="F48" s="241" t="s">
        <v>45</v>
      </c>
      <c r="G48" s="242" t="s">
        <v>662</v>
      </c>
      <c r="H48" s="242"/>
      <c r="I48" s="242" t="s">
        <v>94</v>
      </c>
      <c r="J48" s="242" t="s">
        <v>94</v>
      </c>
      <c r="K48" s="242"/>
      <c r="L48" s="242"/>
      <c r="M48" s="242"/>
      <c r="N48" s="242"/>
      <c r="O48" s="241"/>
      <c r="P48" s="272" t="s">
        <v>203</v>
      </c>
      <c r="Q48" s="36" t="str">
        <f>CONCATENATE("0x",DEC2HEX(AD48*1+AC48*2+AB48*4+AA48*8+Z48*16+Y48*32+X48*64+W48*128,2))</f>
        <v>0x62</v>
      </c>
      <c r="R48" s="37" t="str">
        <f>CONCATENATE("0x",DEC2HEX(AL48*1+AK48*2+AJ48*4+AI48*8+AH48*16+AG48*32+AF48*64+AE48*128,2))</f>
        <v>0x7B</v>
      </c>
      <c r="S48" s="37" t="str">
        <f>CONCATENATE("0x",DEC2HEX(AT48*1+AS48*2+AR48*4+AQ48*8+AP48*16+AO48*32+AN48*64+AM48*128,2))</f>
        <v>0x46</v>
      </c>
      <c r="T48" s="37" t="str">
        <f>CONCATENATE("0x",DEC2HEX(BB48*1+BA48*2+AZ48*4+AY48*8+AX48*16+AW48*32+AV48*64+AU48*128,2))</f>
        <v>0x0A</v>
      </c>
      <c r="U48" s="37" t="str">
        <f>CONCATENATE("0x",DEC2HEX(BJ48*1+BI48*2+BH48*4+BG48*8+BF48*16+BE48*32+BD48*64+BC48*128,2))</f>
        <v>0x00</v>
      </c>
      <c r="V48" s="274" t="str">
        <f>CONCATENATE("0x",DEC2HEX(BR48*1+BQ48*2+BP48*4+BO48*8+BN48*16+BM48*32+BL48*64+BK48*128,2))</f>
        <v>0xFF</v>
      </c>
      <c r="W48" s="280">
        <v>0</v>
      </c>
      <c r="X48" s="264">
        <v>1</v>
      </c>
      <c r="Y48" s="264">
        <v>1</v>
      </c>
      <c r="Z48" s="264">
        <v>0</v>
      </c>
      <c r="AA48" s="264">
        <v>0</v>
      </c>
      <c r="AB48" s="265">
        <v>0</v>
      </c>
      <c r="AC48" s="265">
        <v>1</v>
      </c>
      <c r="AD48" s="276">
        <v>0</v>
      </c>
      <c r="AE48" s="281">
        <v>0</v>
      </c>
      <c r="AF48" s="265">
        <v>1</v>
      </c>
      <c r="AG48" s="263">
        <v>1</v>
      </c>
      <c r="AH48" s="263">
        <v>1</v>
      </c>
      <c r="AI48" s="264">
        <v>1</v>
      </c>
      <c r="AJ48" s="264">
        <v>0</v>
      </c>
      <c r="AK48" s="264">
        <v>1</v>
      </c>
      <c r="AL48" s="276">
        <v>1</v>
      </c>
      <c r="AM48" s="280">
        <v>0</v>
      </c>
      <c r="AN48" s="266">
        <v>1</v>
      </c>
      <c r="AO48" s="267">
        <v>0</v>
      </c>
      <c r="AP48" s="266">
        <v>0</v>
      </c>
      <c r="AQ48" s="265">
        <v>0</v>
      </c>
      <c r="AR48" s="265">
        <v>1</v>
      </c>
      <c r="AS48" s="265">
        <v>1</v>
      </c>
      <c r="AT48" s="276">
        <v>0</v>
      </c>
      <c r="AU48" s="281">
        <v>0</v>
      </c>
      <c r="AV48" s="265">
        <v>0</v>
      </c>
      <c r="AW48" s="266">
        <v>0</v>
      </c>
      <c r="AX48" s="266">
        <v>0</v>
      </c>
      <c r="AY48" s="266">
        <v>1</v>
      </c>
      <c r="AZ48" s="266">
        <v>0</v>
      </c>
      <c r="BA48" s="266">
        <v>1</v>
      </c>
      <c r="BB48" s="278">
        <v>0</v>
      </c>
      <c r="BC48" s="280">
        <v>0</v>
      </c>
      <c r="BD48" s="263">
        <v>0</v>
      </c>
      <c r="BE48" s="263">
        <v>0</v>
      </c>
      <c r="BF48" s="263">
        <v>0</v>
      </c>
      <c r="BG48" s="268">
        <v>0</v>
      </c>
      <c r="BH48" s="263">
        <v>0</v>
      </c>
      <c r="BI48" s="263">
        <v>0</v>
      </c>
      <c r="BJ48" s="278">
        <v>0</v>
      </c>
      <c r="BK48" s="282">
        <v>1</v>
      </c>
      <c r="BL48" s="269">
        <v>1</v>
      </c>
      <c r="BM48" s="269">
        <v>1</v>
      </c>
      <c r="BN48" s="269">
        <v>1</v>
      </c>
      <c r="BO48" s="269">
        <v>1</v>
      </c>
      <c r="BP48" s="269">
        <v>1</v>
      </c>
      <c r="BQ48" s="269">
        <v>1</v>
      </c>
      <c r="BR48" s="270">
        <v>1</v>
      </c>
      <c r="BS48" s="283"/>
      <c r="BT48" s="36" t="str">
        <f t="shared" si="5"/>
        <v>0x21</v>
      </c>
      <c r="BU48" s="36" t="str">
        <f t="shared" si="6"/>
        <v>0x0</v>
      </c>
      <c r="BV48" s="37" t="str">
        <f t="shared" si="7"/>
        <v>0x0</v>
      </c>
      <c r="BW48" s="280">
        <v>0</v>
      </c>
      <c r="BX48" s="263">
        <v>0</v>
      </c>
      <c r="BY48" s="263">
        <v>1</v>
      </c>
      <c r="BZ48" s="263">
        <v>0</v>
      </c>
      <c r="CA48" s="285">
        <v>0</v>
      </c>
      <c r="CB48" s="285">
        <v>0</v>
      </c>
      <c r="CC48" s="285">
        <v>0</v>
      </c>
      <c r="CD48" s="285">
        <v>1</v>
      </c>
      <c r="CE48" s="288">
        <v>0</v>
      </c>
      <c r="CF48" s="286">
        <v>0</v>
      </c>
      <c r="CG48" s="286">
        <v>0</v>
      </c>
      <c r="CH48" s="263">
        <v>0</v>
      </c>
      <c r="CI48" s="263">
        <v>0</v>
      </c>
      <c r="CJ48" s="263">
        <v>0</v>
      </c>
      <c r="CK48" s="263">
        <v>0</v>
      </c>
      <c r="CL48" s="263">
        <v>0</v>
      </c>
      <c r="CM48" s="280">
        <v>0</v>
      </c>
      <c r="CN48" s="263">
        <v>0</v>
      </c>
      <c r="CO48" s="263">
        <v>0</v>
      </c>
      <c r="CP48" s="263">
        <v>0</v>
      </c>
      <c r="CQ48" s="263">
        <v>0</v>
      </c>
      <c r="CR48" s="263">
        <v>0</v>
      </c>
      <c r="CS48" s="263">
        <v>0</v>
      </c>
      <c r="CT48" s="287">
        <v>0</v>
      </c>
      <c r="CU48" s="289"/>
      <c r="CV48" s="249" t="s">
        <v>94</v>
      </c>
      <c r="CW48" s="249"/>
      <c r="CX48" s="249"/>
      <c r="CY48" s="249"/>
    </row>
    <row r="49" spans="1:104" s="259" customFormat="1" ht="15" x14ac:dyDescent="0.2">
      <c r="A49" s="240">
        <v>45</v>
      </c>
      <c r="B49" s="241" t="s">
        <v>704</v>
      </c>
      <c r="C49" s="258" t="s">
        <v>257</v>
      </c>
      <c r="D49" s="258" t="s">
        <v>230</v>
      </c>
      <c r="E49" s="241" t="s">
        <v>208</v>
      </c>
      <c r="F49" s="241" t="s">
        <v>45</v>
      </c>
      <c r="G49" s="242" t="s">
        <v>270</v>
      </c>
      <c r="H49" s="258"/>
      <c r="I49" s="258"/>
      <c r="J49" s="258"/>
      <c r="K49" s="242" t="s">
        <v>217</v>
      </c>
      <c r="L49" s="258"/>
      <c r="M49" s="258"/>
      <c r="N49" s="258"/>
      <c r="P49" s="241" t="s">
        <v>203</v>
      </c>
      <c r="Q49" s="36" t="str">
        <f>CONCATENATE("0x",DEC2HEX(AD49*1+AC49*2+AB49*4+AA49*8+Z49*16+Y49*32+X49*64+W49*128,2))</f>
        <v>0x41</v>
      </c>
      <c r="R49" s="37" t="str">
        <f>CONCATENATE("0x",DEC2HEX(AL49*1+AK49*2+AJ49*4+AI49*8+AH49*16+AG49*32+AF49*64+AE49*128,2))</f>
        <v>0x7B</v>
      </c>
      <c r="S49" s="37" t="str">
        <f>CONCATENATE("0x",DEC2HEX(AT49*1+AS49*2+AR49*4+AQ49*8+AP49*16+AO49*32+AN49*64+AM49*128,2))</f>
        <v>0x46</v>
      </c>
      <c r="T49" s="37" t="str">
        <f>CONCATENATE("0x",DEC2HEX(BB49*1+BA49*2+AZ49*4+AY49*8+AX49*16+AW49*32+AV49*64+AU49*128,2))</f>
        <v>0x0A</v>
      </c>
      <c r="U49" s="37" t="str">
        <f>CONCATENATE("0x",DEC2HEX(BJ49*1+BI49*2+BH49*4+BG49*8+BF49*16+BE49*32+BD49*64+BC49*128,2))</f>
        <v>0x00</v>
      </c>
      <c r="V49" s="274" t="str">
        <f>CONCATENATE("0x",DEC2HEX(BR49*1+BQ49*2+BP49*4+BO49*8+BN49*16+BM49*32+BL49*64+BK49*128,2))</f>
        <v>0xFF</v>
      </c>
      <c r="W49" s="280">
        <v>0</v>
      </c>
      <c r="X49" s="264">
        <v>1</v>
      </c>
      <c r="Y49" s="264">
        <v>0</v>
      </c>
      <c r="Z49" s="264">
        <v>0</v>
      </c>
      <c r="AA49" s="264">
        <v>0</v>
      </c>
      <c r="AB49" s="265">
        <v>0</v>
      </c>
      <c r="AC49" s="265">
        <v>0</v>
      </c>
      <c r="AD49" s="276">
        <v>1</v>
      </c>
      <c r="AE49" s="281">
        <v>0</v>
      </c>
      <c r="AF49" s="265">
        <v>1</v>
      </c>
      <c r="AG49" s="263">
        <v>1</v>
      </c>
      <c r="AH49" s="263">
        <v>1</v>
      </c>
      <c r="AI49" s="264">
        <v>1</v>
      </c>
      <c r="AJ49" s="264">
        <v>0</v>
      </c>
      <c r="AK49" s="264">
        <v>1</v>
      </c>
      <c r="AL49" s="276">
        <v>1</v>
      </c>
      <c r="AM49" s="280">
        <v>0</v>
      </c>
      <c r="AN49" s="266">
        <v>1</v>
      </c>
      <c r="AO49" s="267">
        <v>0</v>
      </c>
      <c r="AP49" s="266">
        <v>0</v>
      </c>
      <c r="AQ49" s="265">
        <v>0</v>
      </c>
      <c r="AR49" s="265">
        <v>1</v>
      </c>
      <c r="AS49" s="265">
        <v>1</v>
      </c>
      <c r="AT49" s="276">
        <v>0</v>
      </c>
      <c r="AU49" s="281">
        <v>0</v>
      </c>
      <c r="AV49" s="265">
        <v>0</v>
      </c>
      <c r="AW49" s="266">
        <v>0</v>
      </c>
      <c r="AX49" s="266">
        <v>0</v>
      </c>
      <c r="AY49" s="266">
        <v>1</v>
      </c>
      <c r="AZ49" s="266">
        <v>0</v>
      </c>
      <c r="BA49" s="266">
        <v>1</v>
      </c>
      <c r="BB49" s="278">
        <v>0</v>
      </c>
      <c r="BC49" s="280">
        <v>0</v>
      </c>
      <c r="BD49" s="263">
        <v>0</v>
      </c>
      <c r="BE49" s="263">
        <v>0</v>
      </c>
      <c r="BF49" s="263">
        <v>0</v>
      </c>
      <c r="BG49" s="268">
        <v>0</v>
      </c>
      <c r="BH49" s="263">
        <v>0</v>
      </c>
      <c r="BI49" s="263">
        <v>0</v>
      </c>
      <c r="BJ49" s="278">
        <v>0</v>
      </c>
      <c r="BK49" s="282">
        <v>1</v>
      </c>
      <c r="BL49" s="269">
        <v>1</v>
      </c>
      <c r="BM49" s="269">
        <v>1</v>
      </c>
      <c r="BN49" s="269">
        <v>1</v>
      </c>
      <c r="BO49" s="269">
        <v>1</v>
      </c>
      <c r="BP49" s="269">
        <v>1</v>
      </c>
      <c r="BQ49" s="269">
        <v>1</v>
      </c>
      <c r="BR49" s="270">
        <v>1</v>
      </c>
      <c r="BS49" s="284"/>
      <c r="BT49" s="36" t="str">
        <f t="shared" ref="BT49:BT50" si="45">CONCATENATE("0x",DEC2HEX(CD49*1+CC49*2+CB49*4+CA49*8+BZ49*16+BY49*32+BX49*64+BW49*128))</f>
        <v>0x21</v>
      </c>
      <c r="BU49" s="36" t="str">
        <f t="shared" ref="BU49:BU50" si="46">CONCATENATE("0x",DEC2HEX(CL49*1+CK49*2+CJ49*4+CI49*8+CH49*16+CG49*32+CF49*64+CE49*128))</f>
        <v>0x0</v>
      </c>
      <c r="BV49" s="37" t="str">
        <f t="shared" ref="BV49:BV50" si="47">CONCATENATE("0x",DEC2HEX(CT49*1+CS49*2+CR49*4+CQ49*8+CP49*16+CO49*32+CN49*64+CM49*128))</f>
        <v>0x0</v>
      </c>
      <c r="BW49" s="280">
        <v>0</v>
      </c>
      <c r="BX49" s="263">
        <v>0</v>
      </c>
      <c r="BY49" s="263">
        <v>1</v>
      </c>
      <c r="BZ49" s="263">
        <v>0</v>
      </c>
      <c r="CA49" s="285">
        <v>0</v>
      </c>
      <c r="CB49" s="285">
        <v>0</v>
      </c>
      <c r="CC49" s="285">
        <v>0</v>
      </c>
      <c r="CD49" s="285">
        <v>1</v>
      </c>
      <c r="CE49" s="288">
        <v>0</v>
      </c>
      <c r="CF49" s="286">
        <v>0</v>
      </c>
      <c r="CG49" s="286">
        <v>0</v>
      </c>
      <c r="CH49" s="263">
        <v>0</v>
      </c>
      <c r="CI49" s="263">
        <v>0</v>
      </c>
      <c r="CJ49" s="263">
        <v>0</v>
      </c>
      <c r="CK49" s="263">
        <v>0</v>
      </c>
      <c r="CL49" s="263">
        <v>0</v>
      </c>
      <c r="CM49" s="280">
        <v>0</v>
      </c>
      <c r="CN49" s="263">
        <v>0</v>
      </c>
      <c r="CO49" s="263">
        <v>0</v>
      </c>
      <c r="CP49" s="263">
        <v>0</v>
      </c>
      <c r="CQ49" s="263">
        <v>0</v>
      </c>
      <c r="CR49" s="263">
        <v>0</v>
      </c>
      <c r="CS49" s="263">
        <v>0</v>
      </c>
      <c r="CT49" s="278">
        <v>0</v>
      </c>
      <c r="CU49" s="284"/>
      <c r="CV49" s="249" t="s">
        <v>94</v>
      </c>
      <c r="CW49" s="249"/>
      <c r="CX49" s="249"/>
      <c r="CY49" s="249"/>
      <c r="CZ49" s="259" t="s">
        <v>700</v>
      </c>
    </row>
    <row r="50" spans="1:104" s="259" customFormat="1" ht="15" x14ac:dyDescent="0.2">
      <c r="A50" s="240">
        <v>46</v>
      </c>
      <c r="B50" s="241" t="s">
        <v>705</v>
      </c>
      <c r="C50" s="258" t="s">
        <v>257</v>
      </c>
      <c r="D50" s="258" t="s">
        <v>216</v>
      </c>
      <c r="E50" s="241" t="s">
        <v>208</v>
      </c>
      <c r="F50" s="241" t="s">
        <v>45</v>
      </c>
      <c r="G50" s="242" t="s">
        <v>270</v>
      </c>
      <c r="H50" s="258"/>
      <c r="I50" s="258"/>
      <c r="J50" s="258"/>
      <c r="K50" s="242" t="s">
        <v>217</v>
      </c>
      <c r="L50" s="258"/>
      <c r="M50" s="258"/>
      <c r="N50" s="258"/>
      <c r="P50" s="241" t="s">
        <v>203</v>
      </c>
      <c r="Q50" s="36" t="str">
        <f>CONCATENATE("0x",DEC2HEX(AD50*1+AC50*2+AB50*4+AA50*8+Z50*16+Y50*32+X50*64+W50*128,2))</f>
        <v>0x41</v>
      </c>
      <c r="R50" s="37" t="str">
        <f>CONCATENATE("0x",DEC2HEX(AL50*1+AK50*2+AJ50*4+AI50*8+AH50*16+AG50*32+AF50*64+AE50*128,2))</f>
        <v>0x7B</v>
      </c>
      <c r="S50" s="37" t="str">
        <f>CONCATENATE("0x",DEC2HEX(AT50*1+AS50*2+AR50*4+AQ50*8+AP50*16+AO50*32+AN50*64+AM50*128,2))</f>
        <v>0x46</v>
      </c>
      <c r="T50" s="37" t="str">
        <f>CONCATENATE("0x",DEC2HEX(BB50*1+BA50*2+AZ50*4+AY50*8+AX50*16+AW50*32+AV50*64+AU50*128,2))</f>
        <v>0x0A</v>
      </c>
      <c r="U50" s="37" t="str">
        <f>CONCATENATE("0x",DEC2HEX(BJ50*1+BI50*2+BH50*4+BG50*8+BF50*16+BE50*32+BD50*64+BC50*128,2))</f>
        <v>0x00</v>
      </c>
      <c r="V50" s="274" t="str">
        <f>CONCATENATE("0x",DEC2HEX(BR50*1+BQ50*2+BP50*4+BO50*8+BN50*16+BM50*32+BL50*64+BK50*128,2))</f>
        <v>0xFF</v>
      </c>
      <c r="W50" s="280">
        <v>0</v>
      </c>
      <c r="X50" s="264">
        <v>1</v>
      </c>
      <c r="Y50" s="264">
        <v>0</v>
      </c>
      <c r="Z50" s="264">
        <v>0</v>
      </c>
      <c r="AA50" s="264">
        <v>0</v>
      </c>
      <c r="AB50" s="265">
        <v>0</v>
      </c>
      <c r="AC50" s="265">
        <v>0</v>
      </c>
      <c r="AD50" s="276">
        <v>1</v>
      </c>
      <c r="AE50" s="281">
        <v>0</v>
      </c>
      <c r="AF50" s="265">
        <v>1</v>
      </c>
      <c r="AG50" s="263">
        <v>1</v>
      </c>
      <c r="AH50" s="263">
        <v>1</v>
      </c>
      <c r="AI50" s="264">
        <v>1</v>
      </c>
      <c r="AJ50" s="264">
        <v>0</v>
      </c>
      <c r="AK50" s="264">
        <v>1</v>
      </c>
      <c r="AL50" s="276">
        <v>1</v>
      </c>
      <c r="AM50" s="280">
        <v>0</v>
      </c>
      <c r="AN50" s="266">
        <v>1</v>
      </c>
      <c r="AO50" s="267">
        <v>0</v>
      </c>
      <c r="AP50" s="266">
        <v>0</v>
      </c>
      <c r="AQ50" s="265">
        <v>0</v>
      </c>
      <c r="AR50" s="265">
        <v>1</v>
      </c>
      <c r="AS50" s="265">
        <v>1</v>
      </c>
      <c r="AT50" s="276">
        <v>0</v>
      </c>
      <c r="AU50" s="281">
        <v>0</v>
      </c>
      <c r="AV50" s="265">
        <v>0</v>
      </c>
      <c r="AW50" s="266">
        <v>0</v>
      </c>
      <c r="AX50" s="266">
        <v>0</v>
      </c>
      <c r="AY50" s="266">
        <v>1</v>
      </c>
      <c r="AZ50" s="266">
        <v>0</v>
      </c>
      <c r="BA50" s="266">
        <v>1</v>
      </c>
      <c r="BB50" s="278">
        <v>0</v>
      </c>
      <c r="BC50" s="280">
        <v>0</v>
      </c>
      <c r="BD50" s="263">
        <v>0</v>
      </c>
      <c r="BE50" s="263">
        <v>0</v>
      </c>
      <c r="BF50" s="263">
        <v>0</v>
      </c>
      <c r="BG50" s="268">
        <v>0</v>
      </c>
      <c r="BH50" s="263">
        <v>0</v>
      </c>
      <c r="BI50" s="263">
        <v>0</v>
      </c>
      <c r="BJ50" s="278">
        <v>0</v>
      </c>
      <c r="BK50" s="282">
        <v>1</v>
      </c>
      <c r="BL50" s="269">
        <v>1</v>
      </c>
      <c r="BM50" s="269">
        <v>1</v>
      </c>
      <c r="BN50" s="269">
        <v>1</v>
      </c>
      <c r="BO50" s="269">
        <v>1</v>
      </c>
      <c r="BP50" s="269">
        <v>1</v>
      </c>
      <c r="BQ50" s="269">
        <v>1</v>
      </c>
      <c r="BR50" s="270">
        <v>1</v>
      </c>
      <c r="BS50" s="284"/>
      <c r="BT50" s="36" t="str">
        <f t="shared" si="45"/>
        <v>0x21</v>
      </c>
      <c r="BU50" s="36" t="str">
        <f t="shared" si="46"/>
        <v>0x0</v>
      </c>
      <c r="BV50" s="37" t="str">
        <f t="shared" si="47"/>
        <v>0x0</v>
      </c>
      <c r="BW50" s="280">
        <v>0</v>
      </c>
      <c r="BX50" s="263">
        <v>0</v>
      </c>
      <c r="BY50" s="263">
        <v>1</v>
      </c>
      <c r="BZ50" s="263">
        <v>0</v>
      </c>
      <c r="CA50" s="285">
        <v>0</v>
      </c>
      <c r="CB50" s="285">
        <v>0</v>
      </c>
      <c r="CC50" s="285">
        <v>0</v>
      </c>
      <c r="CD50" s="285">
        <v>1</v>
      </c>
      <c r="CE50" s="288">
        <v>0</v>
      </c>
      <c r="CF50" s="286">
        <v>0</v>
      </c>
      <c r="CG50" s="286">
        <v>0</v>
      </c>
      <c r="CH50" s="263">
        <v>0</v>
      </c>
      <c r="CI50" s="263">
        <v>0</v>
      </c>
      <c r="CJ50" s="263">
        <v>0</v>
      </c>
      <c r="CK50" s="263">
        <v>0</v>
      </c>
      <c r="CL50" s="263">
        <v>0</v>
      </c>
      <c r="CM50" s="280">
        <v>0</v>
      </c>
      <c r="CN50" s="263">
        <v>0</v>
      </c>
      <c r="CO50" s="263">
        <v>0</v>
      </c>
      <c r="CP50" s="263">
        <v>0</v>
      </c>
      <c r="CQ50" s="263">
        <v>0</v>
      </c>
      <c r="CR50" s="263">
        <v>0</v>
      </c>
      <c r="CS50" s="263">
        <v>0</v>
      </c>
      <c r="CT50" s="278">
        <v>0</v>
      </c>
      <c r="CU50" s="284"/>
      <c r="CV50" s="249" t="s">
        <v>94</v>
      </c>
      <c r="CW50" s="249"/>
      <c r="CX50" s="249"/>
      <c r="CY50" s="249"/>
      <c r="CZ50" s="259" t="s">
        <v>700</v>
      </c>
    </row>
    <row r="51" spans="1:104" s="259" customFormat="1" ht="15" x14ac:dyDescent="0.2">
      <c r="A51" s="240">
        <v>47</v>
      </c>
      <c r="B51" s="241" t="s">
        <v>706</v>
      </c>
      <c r="C51" s="258" t="s">
        <v>257</v>
      </c>
      <c r="D51" s="258" t="s">
        <v>207</v>
      </c>
      <c r="E51" s="241" t="s">
        <v>208</v>
      </c>
      <c r="F51" s="241" t="s">
        <v>45</v>
      </c>
      <c r="G51" s="242" t="s">
        <v>270</v>
      </c>
      <c r="H51" s="258"/>
      <c r="I51" s="258"/>
      <c r="J51" s="258"/>
      <c r="K51" s="242" t="s">
        <v>217</v>
      </c>
      <c r="L51" s="258"/>
      <c r="M51" s="258"/>
      <c r="N51" s="258"/>
      <c r="P51" s="241" t="s">
        <v>203</v>
      </c>
      <c r="Q51" s="36" t="str">
        <f>CONCATENATE("0x",DEC2HEX(AD51*1+AC51*2+AB51*4+AA51*8+Z51*16+Y51*32+X51*64+W51*128,2))</f>
        <v>0x41</v>
      </c>
      <c r="R51" s="37" t="str">
        <f>CONCATENATE("0x",DEC2HEX(AL51*1+AK51*2+AJ51*4+AI51*8+AH51*16+AG51*32+AF51*64+AE51*128,2))</f>
        <v>0x7B</v>
      </c>
      <c r="S51" s="37" t="str">
        <f>CONCATENATE("0x",DEC2HEX(AT51*1+AS51*2+AR51*4+AQ51*8+AP51*16+AO51*32+AN51*64+AM51*128,2))</f>
        <v>0x46</v>
      </c>
      <c r="T51" s="37" t="str">
        <f>CONCATENATE("0x",DEC2HEX(BB51*1+BA51*2+AZ51*4+AY51*8+AX51*16+AW51*32+AV51*64+AU51*128,2))</f>
        <v>0x0A</v>
      </c>
      <c r="U51" s="37" t="str">
        <f>CONCATENATE("0x",DEC2HEX(BJ51*1+BI51*2+BH51*4+BG51*8+BF51*16+BE51*32+BD51*64+BC51*128,2))</f>
        <v>0x00</v>
      </c>
      <c r="V51" s="274" t="str">
        <f>CONCATENATE("0x",DEC2HEX(BR51*1+BQ51*2+BP51*4+BO51*8+BN51*16+BM51*32+BL51*64+BK51*128,2))</f>
        <v>0xFF</v>
      </c>
      <c r="W51" s="280">
        <v>0</v>
      </c>
      <c r="X51" s="264">
        <v>1</v>
      </c>
      <c r="Y51" s="264">
        <v>0</v>
      </c>
      <c r="Z51" s="264">
        <v>0</v>
      </c>
      <c r="AA51" s="264">
        <v>0</v>
      </c>
      <c r="AB51" s="265">
        <v>0</v>
      </c>
      <c r="AC51" s="265">
        <v>0</v>
      </c>
      <c r="AD51" s="276">
        <v>1</v>
      </c>
      <c r="AE51" s="281">
        <v>0</v>
      </c>
      <c r="AF51" s="265">
        <v>1</v>
      </c>
      <c r="AG51" s="263">
        <v>1</v>
      </c>
      <c r="AH51" s="263">
        <v>1</v>
      </c>
      <c r="AI51" s="264">
        <v>1</v>
      </c>
      <c r="AJ51" s="264">
        <v>0</v>
      </c>
      <c r="AK51" s="264">
        <v>1</v>
      </c>
      <c r="AL51" s="276">
        <v>1</v>
      </c>
      <c r="AM51" s="280">
        <v>0</v>
      </c>
      <c r="AN51" s="266">
        <v>1</v>
      </c>
      <c r="AO51" s="267">
        <v>0</v>
      </c>
      <c r="AP51" s="266">
        <v>0</v>
      </c>
      <c r="AQ51" s="265">
        <v>0</v>
      </c>
      <c r="AR51" s="265">
        <v>1</v>
      </c>
      <c r="AS51" s="265">
        <v>1</v>
      </c>
      <c r="AT51" s="276">
        <v>0</v>
      </c>
      <c r="AU51" s="281">
        <v>0</v>
      </c>
      <c r="AV51" s="265">
        <v>0</v>
      </c>
      <c r="AW51" s="266">
        <v>0</v>
      </c>
      <c r="AX51" s="266">
        <v>0</v>
      </c>
      <c r="AY51" s="266">
        <v>1</v>
      </c>
      <c r="AZ51" s="266">
        <v>0</v>
      </c>
      <c r="BA51" s="266">
        <v>1</v>
      </c>
      <c r="BB51" s="278">
        <v>0</v>
      </c>
      <c r="BC51" s="280">
        <v>0</v>
      </c>
      <c r="BD51" s="263">
        <v>0</v>
      </c>
      <c r="BE51" s="263">
        <v>0</v>
      </c>
      <c r="BF51" s="263">
        <v>0</v>
      </c>
      <c r="BG51" s="268">
        <v>0</v>
      </c>
      <c r="BH51" s="263">
        <v>0</v>
      </c>
      <c r="BI51" s="263">
        <v>0</v>
      </c>
      <c r="BJ51" s="278">
        <v>0</v>
      </c>
      <c r="BK51" s="282">
        <v>1</v>
      </c>
      <c r="BL51" s="269">
        <v>1</v>
      </c>
      <c r="BM51" s="269">
        <v>1</v>
      </c>
      <c r="BN51" s="269">
        <v>1</v>
      </c>
      <c r="BO51" s="269">
        <v>1</v>
      </c>
      <c r="BP51" s="269">
        <v>1</v>
      </c>
      <c r="BQ51" s="269">
        <v>1</v>
      </c>
      <c r="BR51" s="270">
        <v>1</v>
      </c>
      <c r="BS51" s="284"/>
      <c r="BT51" s="36" t="str">
        <f t="shared" si="5"/>
        <v>0x21</v>
      </c>
      <c r="BU51" s="36" t="str">
        <f t="shared" si="6"/>
        <v>0x0</v>
      </c>
      <c r="BV51" s="37" t="str">
        <f t="shared" si="7"/>
        <v>0x0</v>
      </c>
      <c r="BW51" s="280">
        <v>0</v>
      </c>
      <c r="BX51" s="263">
        <v>0</v>
      </c>
      <c r="BY51" s="263">
        <v>1</v>
      </c>
      <c r="BZ51" s="263">
        <v>0</v>
      </c>
      <c r="CA51" s="285">
        <v>0</v>
      </c>
      <c r="CB51" s="285">
        <v>0</v>
      </c>
      <c r="CC51" s="285">
        <v>0</v>
      </c>
      <c r="CD51" s="285">
        <v>1</v>
      </c>
      <c r="CE51" s="288">
        <v>0</v>
      </c>
      <c r="CF51" s="286">
        <v>0</v>
      </c>
      <c r="CG51" s="286">
        <v>0</v>
      </c>
      <c r="CH51" s="263">
        <v>0</v>
      </c>
      <c r="CI51" s="263">
        <v>0</v>
      </c>
      <c r="CJ51" s="263">
        <v>0</v>
      </c>
      <c r="CK51" s="263">
        <v>0</v>
      </c>
      <c r="CL51" s="263">
        <v>0</v>
      </c>
      <c r="CM51" s="280">
        <v>0</v>
      </c>
      <c r="CN51" s="263">
        <v>0</v>
      </c>
      <c r="CO51" s="263">
        <v>0</v>
      </c>
      <c r="CP51" s="263">
        <v>0</v>
      </c>
      <c r="CQ51" s="263">
        <v>0</v>
      </c>
      <c r="CR51" s="263">
        <v>0</v>
      </c>
      <c r="CS51" s="263">
        <v>0</v>
      </c>
      <c r="CT51" s="278">
        <v>0</v>
      </c>
      <c r="CU51" s="284"/>
      <c r="CV51" s="249" t="s">
        <v>94</v>
      </c>
      <c r="CW51" s="249"/>
      <c r="CX51" s="249"/>
      <c r="CY51" s="249"/>
      <c r="CZ51" s="259" t="s">
        <v>700</v>
      </c>
    </row>
    <row r="52" spans="1:104" s="259" customFormat="1" ht="15" x14ac:dyDescent="0.2">
      <c r="A52" s="240">
        <v>48</v>
      </c>
      <c r="B52" s="241" t="s">
        <v>686</v>
      </c>
      <c r="C52" s="258" t="s">
        <v>257</v>
      </c>
      <c r="D52" s="242" t="s">
        <v>216</v>
      </c>
      <c r="E52" s="241" t="s">
        <v>212</v>
      </c>
      <c r="F52" s="241" t="s">
        <v>45</v>
      </c>
      <c r="G52" s="242" t="s">
        <v>270</v>
      </c>
      <c r="H52" s="242"/>
      <c r="I52" s="242" t="s">
        <v>689</v>
      </c>
      <c r="J52" s="242"/>
      <c r="K52" s="242" t="s">
        <v>217</v>
      </c>
      <c r="L52" s="242" t="s">
        <v>94</v>
      </c>
      <c r="M52" s="242" t="s">
        <v>266</v>
      </c>
      <c r="N52" s="242"/>
      <c r="O52" s="241"/>
      <c r="P52" s="241" t="s">
        <v>203</v>
      </c>
      <c r="Q52" s="36" t="str">
        <f t="shared" ref="Q52" si="48">CONCATENATE("0x",DEC2HEX(AD52*1+AC52*2+AB52*4+AA52*8+Z52*16+Y52*32+X52*64+W52*128,2))</f>
        <v>0x01</v>
      </c>
      <c r="R52" s="37" t="str">
        <f t="shared" ref="R52" si="49">CONCATENATE("0x",DEC2HEX(AL52*1+AK52*2+AJ52*4+AI52*8+AH52*16+AG52*32+AF52*64+AE52*128,2))</f>
        <v>0x7B</v>
      </c>
      <c r="S52" s="37" t="str">
        <f t="shared" ref="S52" si="50">CONCATENATE("0x",DEC2HEX(AT52*1+AS52*2+AR52*4+AQ52*8+AP52*16+AO52*32+AN52*64+AM52*128,2))</f>
        <v>0x63</v>
      </c>
      <c r="T52" s="37" t="str">
        <f t="shared" ref="T52" si="51">CONCATENATE("0x",DEC2HEX(BB52*1+BA52*2+AZ52*4+AY52*8+AX52*16+AW52*32+AV52*64+AU52*128,2))</f>
        <v>0x06</v>
      </c>
      <c r="U52" s="37" t="str">
        <f t="shared" ref="U52" si="52">CONCATENATE("0x",DEC2HEX(BJ52*1+BI52*2+BH52*4+BG52*8+BF52*16+BE52*32+BD52*64+BC52*128,2))</f>
        <v>0x00</v>
      </c>
      <c r="V52" s="274" t="str">
        <f t="shared" ref="V52" si="53">CONCATENATE("0x",DEC2HEX(BR52*1+BQ52*2+BP52*4+BO52*8+BN52*16+BM52*32+BL52*64+BK52*128,2))</f>
        <v>0xFF</v>
      </c>
      <c r="W52" s="280">
        <v>0</v>
      </c>
      <c r="X52" s="264">
        <v>0</v>
      </c>
      <c r="Y52" s="264">
        <v>0</v>
      </c>
      <c r="Z52" s="264">
        <v>0</v>
      </c>
      <c r="AA52" s="264">
        <v>0</v>
      </c>
      <c r="AB52" s="265">
        <v>0</v>
      </c>
      <c r="AC52" s="265">
        <v>0</v>
      </c>
      <c r="AD52" s="276">
        <v>1</v>
      </c>
      <c r="AE52" s="281">
        <v>0</v>
      </c>
      <c r="AF52" s="265">
        <v>1</v>
      </c>
      <c r="AG52" s="263">
        <v>1</v>
      </c>
      <c r="AH52" s="263">
        <v>1</v>
      </c>
      <c r="AI52" s="264">
        <v>1</v>
      </c>
      <c r="AJ52" s="264">
        <v>0</v>
      </c>
      <c r="AK52" s="264">
        <v>1</v>
      </c>
      <c r="AL52" s="276">
        <v>1</v>
      </c>
      <c r="AM52" s="280">
        <v>0</v>
      </c>
      <c r="AN52" s="266">
        <v>1</v>
      </c>
      <c r="AO52" s="267">
        <v>1</v>
      </c>
      <c r="AP52" s="266">
        <v>0</v>
      </c>
      <c r="AQ52" s="297">
        <v>0</v>
      </c>
      <c r="AR52" s="297">
        <v>0</v>
      </c>
      <c r="AS52" s="297">
        <v>1</v>
      </c>
      <c r="AT52" s="276">
        <v>1</v>
      </c>
      <c r="AU52" s="281">
        <v>0</v>
      </c>
      <c r="AV52" s="265">
        <v>0</v>
      </c>
      <c r="AW52" s="266">
        <v>0</v>
      </c>
      <c r="AX52" s="266">
        <v>0</v>
      </c>
      <c r="AY52" s="266">
        <v>0</v>
      </c>
      <c r="AZ52" s="266">
        <v>1</v>
      </c>
      <c r="BA52" s="266">
        <v>1</v>
      </c>
      <c r="BB52" s="278">
        <v>0</v>
      </c>
      <c r="BC52" s="280">
        <v>0</v>
      </c>
      <c r="BD52" s="263">
        <v>0</v>
      </c>
      <c r="BE52" s="263">
        <v>0</v>
      </c>
      <c r="BF52" s="263">
        <v>0</v>
      </c>
      <c r="BG52" s="268">
        <v>0</v>
      </c>
      <c r="BH52" s="263">
        <v>0</v>
      </c>
      <c r="BI52" s="263">
        <v>0</v>
      </c>
      <c r="BJ52" s="278">
        <v>0</v>
      </c>
      <c r="BK52" s="282">
        <v>1</v>
      </c>
      <c r="BL52" s="269">
        <v>1</v>
      </c>
      <c r="BM52" s="269">
        <v>1</v>
      </c>
      <c r="BN52" s="269">
        <v>1</v>
      </c>
      <c r="BO52" s="269">
        <v>1</v>
      </c>
      <c r="BP52" s="269">
        <v>1</v>
      </c>
      <c r="BQ52" s="269">
        <v>1</v>
      </c>
      <c r="BR52" s="270">
        <v>1</v>
      </c>
      <c r="BS52" s="283"/>
      <c r="BT52" s="36" t="str">
        <f t="shared" ref="BT52:BT54" si="54">CONCATENATE("0x",DEC2HEX(CD52*1+CC52*2+CB52*4+CA52*8+BZ52*16+BY52*32+BX52*64+BW52*128))</f>
        <v>0x21</v>
      </c>
      <c r="BU52" s="36" t="str">
        <f t="shared" ref="BU52:BU54" si="55">CONCATENATE("0x",DEC2HEX(CL52*1+CK52*2+CJ52*4+CI52*8+CH52*16+CG52*32+CF52*64+CE52*128))</f>
        <v>0x0</v>
      </c>
      <c r="BV52" s="37" t="str">
        <f t="shared" ref="BV52:BV54" si="56">CONCATENATE("0x",DEC2HEX(CT52*1+CS52*2+CR52*4+CQ52*8+CP52*16+CO52*32+CN52*64+CM52*128))</f>
        <v>0x0</v>
      </c>
      <c r="BW52" s="280">
        <v>0</v>
      </c>
      <c r="BX52" s="263">
        <v>0</v>
      </c>
      <c r="BY52" s="263">
        <v>1</v>
      </c>
      <c r="BZ52" s="263">
        <v>0</v>
      </c>
      <c r="CA52" s="285">
        <v>0</v>
      </c>
      <c r="CB52" s="285">
        <v>0</v>
      </c>
      <c r="CC52" s="285">
        <v>0</v>
      </c>
      <c r="CD52" s="285">
        <v>1</v>
      </c>
      <c r="CE52" s="288">
        <v>0</v>
      </c>
      <c r="CF52" s="286">
        <v>0</v>
      </c>
      <c r="CG52" s="286">
        <v>0</v>
      </c>
      <c r="CH52" s="263">
        <v>0</v>
      </c>
      <c r="CI52" s="263">
        <v>0</v>
      </c>
      <c r="CJ52" s="263">
        <v>0</v>
      </c>
      <c r="CK52" s="263">
        <v>0</v>
      </c>
      <c r="CL52" s="263">
        <v>0</v>
      </c>
      <c r="CM52" s="280">
        <v>0</v>
      </c>
      <c r="CN52" s="263">
        <v>0</v>
      </c>
      <c r="CO52" s="263">
        <v>0</v>
      </c>
      <c r="CP52" s="263">
        <v>0</v>
      </c>
      <c r="CQ52" s="263">
        <v>0</v>
      </c>
      <c r="CR52" s="263">
        <v>0</v>
      </c>
      <c r="CS52" s="263">
        <v>0</v>
      </c>
      <c r="CT52" s="278">
        <v>0</v>
      </c>
      <c r="CU52" s="289"/>
      <c r="CV52" s="249" t="s">
        <v>94</v>
      </c>
      <c r="CW52" s="249" t="s">
        <v>94</v>
      </c>
      <c r="CX52" s="249"/>
      <c r="CY52" s="249"/>
      <c r="CZ52" s="259" t="s">
        <v>694</v>
      </c>
    </row>
    <row r="53" spans="1:104" ht="15" x14ac:dyDescent="0.2">
      <c r="A53" s="240">
        <v>49</v>
      </c>
      <c r="B53" s="292" t="s">
        <v>687</v>
      </c>
      <c r="C53" s="258" t="s">
        <v>257</v>
      </c>
      <c r="D53" s="242" t="s">
        <v>216</v>
      </c>
      <c r="E53" s="241" t="s">
        <v>208</v>
      </c>
      <c r="F53" s="241" t="s">
        <v>45</v>
      </c>
      <c r="G53" s="242" t="s">
        <v>662</v>
      </c>
      <c r="H53" s="242"/>
      <c r="I53" s="242" t="s">
        <v>94</v>
      </c>
      <c r="J53" s="242" t="s">
        <v>689</v>
      </c>
      <c r="K53" s="242"/>
      <c r="L53" s="242" t="s">
        <v>94</v>
      </c>
      <c r="M53" s="242"/>
      <c r="N53" s="242"/>
      <c r="O53" s="241"/>
      <c r="P53" s="273" t="s">
        <v>203</v>
      </c>
      <c r="Q53" s="36" t="str">
        <f>CONCATENATE("0x",DEC2HEX(AD53*1+AC53*2+AB53*4+AA53*8+Z53*16+Y53*32+X53*64+W53*128,2))</f>
        <v>0x63</v>
      </c>
      <c r="R53" s="37" t="str">
        <f>CONCATENATE("0x",DEC2HEX(AL53*1+AK53*2+AJ53*4+AI53*8+AH53*16+AG53*32+AF53*64+AE53*128,2))</f>
        <v>0x6B</v>
      </c>
      <c r="S53" s="37" t="str">
        <f>CONCATENATE("0x",DEC2HEX(AT53*1+AS53*2+AR53*4+AQ53*8+AP53*16+AO53*32+AN53*64+AM53*128,2))</f>
        <v>0x43</v>
      </c>
      <c r="T53" s="37" t="str">
        <f>CONCATENATE("0x",DEC2HEX(BB53*1+BA53*2+AZ53*4+AY53*8+AX53*16+AW53*32+AV53*64+AU53*128,2))</f>
        <v>0x06</v>
      </c>
      <c r="U53" s="37" t="str">
        <f>CONCATENATE("0x",DEC2HEX(BJ53*1+BI53*2+BH53*4+BG53*8+BF53*16+BE53*32+BD53*64+BC53*128,2))</f>
        <v>0x00</v>
      </c>
      <c r="V53" s="274" t="str">
        <f>CONCATENATE("0x",DEC2HEX(BR53*1+BQ53*2+BP53*4+BO53*8+BN53*16+BM53*32+BL53*64+BK53*128,2))</f>
        <v>0xFF</v>
      </c>
      <c r="W53" s="280">
        <v>0</v>
      </c>
      <c r="X53" s="264">
        <v>1</v>
      </c>
      <c r="Y53" s="264">
        <v>1</v>
      </c>
      <c r="Z53" s="264">
        <v>0</v>
      </c>
      <c r="AA53" s="264">
        <v>0</v>
      </c>
      <c r="AB53" s="265">
        <v>0</v>
      </c>
      <c r="AC53" s="297">
        <v>1</v>
      </c>
      <c r="AD53" s="299">
        <v>1</v>
      </c>
      <c r="AE53" s="281">
        <v>0</v>
      </c>
      <c r="AF53" s="265">
        <v>1</v>
      </c>
      <c r="AG53" s="263">
        <v>1</v>
      </c>
      <c r="AH53" s="263">
        <v>0</v>
      </c>
      <c r="AI53" s="264">
        <v>1</v>
      </c>
      <c r="AJ53" s="264">
        <v>0</v>
      </c>
      <c r="AK53" s="264">
        <v>1</v>
      </c>
      <c r="AL53" s="276">
        <v>1</v>
      </c>
      <c r="AM53" s="280">
        <v>0</v>
      </c>
      <c r="AN53" s="266">
        <v>1</v>
      </c>
      <c r="AO53" s="267">
        <v>0</v>
      </c>
      <c r="AP53" s="266">
        <v>0</v>
      </c>
      <c r="AQ53" s="297">
        <v>0</v>
      </c>
      <c r="AR53" s="297">
        <v>0</v>
      </c>
      <c r="AS53" s="297">
        <v>1</v>
      </c>
      <c r="AT53" s="276">
        <v>1</v>
      </c>
      <c r="AU53" s="281">
        <v>0</v>
      </c>
      <c r="AV53" s="265">
        <v>0</v>
      </c>
      <c r="AW53" s="266">
        <v>0</v>
      </c>
      <c r="AX53" s="266">
        <v>0</v>
      </c>
      <c r="AY53" s="296">
        <v>0</v>
      </c>
      <c r="AZ53" s="296">
        <v>1</v>
      </c>
      <c r="BA53" s="266">
        <v>1</v>
      </c>
      <c r="BB53" s="278">
        <v>0</v>
      </c>
      <c r="BC53" s="280">
        <v>0</v>
      </c>
      <c r="BD53" s="263">
        <v>0</v>
      </c>
      <c r="BE53" s="263">
        <v>0</v>
      </c>
      <c r="BF53" s="263">
        <v>0</v>
      </c>
      <c r="BG53" s="268">
        <v>0</v>
      </c>
      <c r="BH53" s="263">
        <v>0</v>
      </c>
      <c r="BI53" s="263">
        <v>0</v>
      </c>
      <c r="BJ53" s="278">
        <v>0</v>
      </c>
      <c r="BK53" s="282">
        <v>1</v>
      </c>
      <c r="BL53" s="269">
        <v>1</v>
      </c>
      <c r="BM53" s="269">
        <v>1</v>
      </c>
      <c r="BN53" s="269">
        <v>1</v>
      </c>
      <c r="BO53" s="269">
        <v>1</v>
      </c>
      <c r="BP53" s="269">
        <v>1</v>
      </c>
      <c r="BQ53" s="269">
        <v>1</v>
      </c>
      <c r="BR53" s="270">
        <v>1</v>
      </c>
      <c r="BS53" s="283"/>
      <c r="BT53" s="36" t="str">
        <f t="shared" si="54"/>
        <v>0x21</v>
      </c>
      <c r="BU53" s="36" t="str">
        <f t="shared" si="55"/>
        <v>0x0</v>
      </c>
      <c r="BV53" s="37" t="str">
        <f t="shared" si="56"/>
        <v>0x0</v>
      </c>
      <c r="BW53" s="280">
        <v>0</v>
      </c>
      <c r="BX53" s="263">
        <v>0</v>
      </c>
      <c r="BY53" s="263">
        <v>1</v>
      </c>
      <c r="BZ53" s="263">
        <v>0</v>
      </c>
      <c r="CA53" s="285">
        <v>0</v>
      </c>
      <c r="CB53" s="285">
        <v>0</v>
      </c>
      <c r="CC53" s="285">
        <v>0</v>
      </c>
      <c r="CD53" s="285">
        <v>1</v>
      </c>
      <c r="CE53" s="288">
        <v>0</v>
      </c>
      <c r="CF53" s="286">
        <v>0</v>
      </c>
      <c r="CG53" s="286">
        <v>0</v>
      </c>
      <c r="CH53" s="263">
        <v>0</v>
      </c>
      <c r="CI53" s="263">
        <v>0</v>
      </c>
      <c r="CJ53" s="263">
        <v>0</v>
      </c>
      <c r="CK53" s="263">
        <v>0</v>
      </c>
      <c r="CL53" s="263">
        <v>0</v>
      </c>
      <c r="CM53" s="280">
        <v>0</v>
      </c>
      <c r="CN53" s="263">
        <v>0</v>
      </c>
      <c r="CO53" s="263">
        <v>0</v>
      </c>
      <c r="CP53" s="263">
        <v>0</v>
      </c>
      <c r="CQ53" s="263">
        <v>0</v>
      </c>
      <c r="CR53" s="263">
        <v>0</v>
      </c>
      <c r="CS53" s="263">
        <v>0</v>
      </c>
      <c r="CT53" s="287">
        <v>0</v>
      </c>
      <c r="CU53" s="289"/>
      <c r="CV53" s="249" t="s">
        <v>94</v>
      </c>
      <c r="CW53" s="249" t="s">
        <v>94</v>
      </c>
      <c r="CX53" s="249"/>
      <c r="CY53" s="249"/>
      <c r="CZ53" s="259" t="s">
        <v>694</v>
      </c>
    </row>
    <row r="54" spans="1:104" ht="15" x14ac:dyDescent="0.2">
      <c r="A54" s="294">
        <v>50</v>
      </c>
      <c r="B54" s="262" t="s">
        <v>688</v>
      </c>
      <c r="C54" s="258" t="s">
        <v>257</v>
      </c>
      <c r="D54" s="243" t="s">
        <v>216</v>
      </c>
      <c r="E54" s="237" t="s">
        <v>208</v>
      </c>
      <c r="F54" s="237" t="s">
        <v>45</v>
      </c>
      <c r="G54" s="261" t="s">
        <v>270</v>
      </c>
      <c r="H54" s="243"/>
      <c r="I54" s="243"/>
      <c r="J54" s="243" t="s">
        <v>94</v>
      </c>
      <c r="K54" s="250" t="s">
        <v>217</v>
      </c>
      <c r="L54" s="243"/>
      <c r="M54" s="243"/>
      <c r="N54" s="243"/>
      <c r="O54" s="244"/>
      <c r="P54" s="237" t="s">
        <v>203</v>
      </c>
      <c r="Q54" s="36" t="str">
        <f>CONCATENATE("0x",DEC2HEX(AD54*1+AC54*2+AB54*4+AA54*8+Z54*16+Y54*32+X54*64+W54*128,2))</f>
        <v>0x42</v>
      </c>
      <c r="R54" s="37" t="str">
        <f>CONCATENATE("0x",DEC2HEX(AL54*1+AK54*2+AJ54*4+AI54*8+AH54*16+AG54*32+AF54*64+AE54*128,2))</f>
        <v>0x6B</v>
      </c>
      <c r="S54" s="37" t="str">
        <f>CONCATENATE("0x",DEC2HEX(AT54*1+AS54*2+AR54*4+AQ54*8+AP54*16+AO54*32+AN54*64+AM54*128,2))</f>
        <v>0x44</v>
      </c>
      <c r="T54" s="37" t="str">
        <f>CONCATENATE("0x",DEC2HEX(BB54*1+BA54*2+AZ54*4+AY54*8+AX54*16+AW54*32+AV54*64+AU54*128,2))</f>
        <v>0x06</v>
      </c>
      <c r="U54" s="37" t="str">
        <f>CONCATENATE("0x",DEC2HEX(BJ54*1+BI54*2+BH54*4+BG54*8+BF54*16+BE54*32+BD54*64+BC54*128,2))</f>
        <v>0x00</v>
      </c>
      <c r="V54" s="274" t="str">
        <f>CONCATENATE("0x",DEC2HEX(BR54*1+BQ54*2+BP54*4+BO54*8+BN54*16+BM54*32+BL54*64+BK54*128,2))</f>
        <v>0xFF</v>
      </c>
      <c r="W54" s="42">
        <v>0</v>
      </c>
      <c r="X54" s="39">
        <v>1</v>
      </c>
      <c r="Y54" s="39">
        <v>0</v>
      </c>
      <c r="Z54" s="39">
        <v>0</v>
      </c>
      <c r="AA54" s="39">
        <v>0</v>
      </c>
      <c r="AB54" s="5">
        <v>0</v>
      </c>
      <c r="AC54" s="298">
        <v>1</v>
      </c>
      <c r="AD54" s="300">
        <v>0</v>
      </c>
      <c r="AE54" s="6">
        <v>0</v>
      </c>
      <c r="AF54" s="5">
        <v>1</v>
      </c>
      <c r="AG54" s="40">
        <v>1</v>
      </c>
      <c r="AH54" s="40">
        <v>0</v>
      </c>
      <c r="AI54" s="39">
        <v>1</v>
      </c>
      <c r="AJ54" s="39">
        <v>0</v>
      </c>
      <c r="AK54" s="39">
        <v>1</v>
      </c>
      <c r="AL54" s="275">
        <v>1</v>
      </c>
      <c r="AM54" s="42">
        <v>0</v>
      </c>
      <c r="AN54" s="4">
        <v>1</v>
      </c>
      <c r="AO54" s="7">
        <v>0</v>
      </c>
      <c r="AP54" s="4">
        <v>0</v>
      </c>
      <c r="AQ54" s="298">
        <v>0</v>
      </c>
      <c r="AR54" s="298">
        <v>1</v>
      </c>
      <c r="AS54" s="298">
        <v>0</v>
      </c>
      <c r="AT54" s="275">
        <v>0</v>
      </c>
      <c r="AU54" s="6">
        <v>0</v>
      </c>
      <c r="AV54" s="5">
        <v>0</v>
      </c>
      <c r="AW54" s="4">
        <v>0</v>
      </c>
      <c r="AX54" s="4">
        <v>0</v>
      </c>
      <c r="AY54" s="4">
        <v>0</v>
      </c>
      <c r="AZ54" s="4">
        <v>1</v>
      </c>
      <c r="BA54" s="4">
        <v>1</v>
      </c>
      <c r="BB54" s="277">
        <v>0</v>
      </c>
      <c r="BC54" s="42">
        <v>0</v>
      </c>
      <c r="BD54" s="44">
        <v>0</v>
      </c>
      <c r="BE54" s="44">
        <v>0</v>
      </c>
      <c r="BF54" s="44">
        <v>0</v>
      </c>
      <c r="BG54" s="45">
        <v>0</v>
      </c>
      <c r="BH54" s="44">
        <v>0</v>
      </c>
      <c r="BI54" s="44">
        <v>0</v>
      </c>
      <c r="BJ54" s="277">
        <v>0</v>
      </c>
      <c r="BK54" s="46">
        <v>1</v>
      </c>
      <c r="BL54" s="47">
        <v>1</v>
      </c>
      <c r="BM54" s="47">
        <v>1</v>
      </c>
      <c r="BN54" s="47">
        <v>1</v>
      </c>
      <c r="BO54" s="47">
        <v>1</v>
      </c>
      <c r="BP54" s="47">
        <v>1</v>
      </c>
      <c r="BQ54" s="48">
        <v>1</v>
      </c>
      <c r="BR54" s="279">
        <v>1</v>
      </c>
      <c r="BS54" s="284"/>
      <c r="BT54" s="51" t="str">
        <f t="shared" si="54"/>
        <v>0x21</v>
      </c>
      <c r="BU54" s="51" t="str">
        <f t="shared" si="55"/>
        <v>0x0</v>
      </c>
      <c r="BV54" s="52" t="str">
        <f t="shared" si="56"/>
        <v>0x0</v>
      </c>
      <c r="BW54" s="42">
        <v>0</v>
      </c>
      <c r="BX54" s="40">
        <v>0</v>
      </c>
      <c r="BY54" s="40">
        <v>1</v>
      </c>
      <c r="BZ54" s="40">
        <v>0</v>
      </c>
      <c r="CA54" s="53">
        <v>0</v>
      </c>
      <c r="CB54" s="53">
        <v>0</v>
      </c>
      <c r="CC54" s="53">
        <v>0</v>
      </c>
      <c r="CD54" s="54">
        <v>1</v>
      </c>
      <c r="CE54" s="55">
        <v>0</v>
      </c>
      <c r="CF54" s="56">
        <v>0</v>
      </c>
      <c r="CG54" s="56">
        <v>0</v>
      </c>
      <c r="CH54" s="40">
        <v>0</v>
      </c>
      <c r="CI54" s="40">
        <v>0</v>
      </c>
      <c r="CJ54" s="40">
        <v>0</v>
      </c>
      <c r="CK54" s="40">
        <v>0</v>
      </c>
      <c r="CL54" s="57">
        <v>0</v>
      </c>
      <c r="CM54" s="42">
        <v>0</v>
      </c>
      <c r="CN54" s="44">
        <v>0</v>
      </c>
      <c r="CO54" s="44">
        <v>0</v>
      </c>
      <c r="CP54" s="44">
        <v>0</v>
      </c>
      <c r="CQ54" s="44">
        <v>0</v>
      </c>
      <c r="CR54" s="44">
        <v>0</v>
      </c>
      <c r="CS54" s="44">
        <v>0</v>
      </c>
      <c r="CT54" s="43">
        <v>0</v>
      </c>
      <c r="CV54" s="247" t="s">
        <v>94</v>
      </c>
      <c r="CW54" s="247"/>
      <c r="CX54" s="248"/>
      <c r="CY54" s="248"/>
      <c r="CZ54" s="259" t="s">
        <v>695</v>
      </c>
    </row>
    <row r="59" spans="1:104" x14ac:dyDescent="0.2">
      <c r="BV59" s="260"/>
      <c r="BW59" s="260"/>
      <c r="BX59" s="260"/>
      <c r="BY59" s="260"/>
      <c r="BZ59" s="260"/>
      <c r="CA59" s="260"/>
    </row>
    <row r="60" spans="1:104" x14ac:dyDescent="0.2">
      <c r="J60" s="150"/>
      <c r="BV60" s="260"/>
      <c r="BW60" s="260"/>
      <c r="BX60" s="260"/>
      <c r="BY60" s="260"/>
      <c r="BZ60" s="260"/>
      <c r="CA60" s="260"/>
    </row>
    <row r="61" spans="1:104" x14ac:dyDescent="0.2">
      <c r="BV61" s="260"/>
      <c r="BW61" s="260"/>
      <c r="BX61" s="260"/>
      <c r="BY61" s="260"/>
      <c r="BZ61" s="260"/>
      <c r="CA61" s="260"/>
    </row>
  </sheetData>
  <autoFilter ref="A6:V54"/>
  <mergeCells count="20">
    <mergeCell ref="CE5:CG5"/>
    <mergeCell ref="AE5:AF5"/>
    <mergeCell ref="AG5:AH5"/>
    <mergeCell ref="AI5:AJ5"/>
    <mergeCell ref="AC6:AD6"/>
    <mergeCell ref="AY5:AZ5"/>
    <mergeCell ref="AY6:AZ6"/>
    <mergeCell ref="CE6:CG6"/>
    <mergeCell ref="CB6:CD6"/>
    <mergeCell ref="CB5:CD5"/>
    <mergeCell ref="Q4:V4"/>
    <mergeCell ref="AE6:AF6"/>
    <mergeCell ref="AQ6:AS6"/>
    <mergeCell ref="BK6:BR6"/>
    <mergeCell ref="BY6:BZ6"/>
    <mergeCell ref="AK5:AL5"/>
    <mergeCell ref="AQ5:AS5"/>
    <mergeCell ref="BK5:BR5"/>
    <mergeCell ref="AC5:AD5"/>
    <mergeCell ref="BY5:BZ5"/>
  </mergeCells>
  <conditionalFormatting sqref="B51 B7:B10 B12:B13 B15:B19 B21:B27 B29:B48">
    <cfRule type="duplicateValues" dxfId="316" priority="63"/>
  </conditionalFormatting>
  <conditionalFormatting sqref="M4">
    <cfRule type="duplicateValues" dxfId="315" priority="61"/>
  </conditionalFormatting>
  <conditionalFormatting sqref="N4">
    <cfRule type="duplicateValues" dxfId="314" priority="60"/>
  </conditionalFormatting>
  <conditionalFormatting sqref="L4">
    <cfRule type="duplicateValues" dxfId="313" priority="59"/>
  </conditionalFormatting>
  <conditionalFormatting sqref="O4:O6">
    <cfRule type="duplicateValues" dxfId="312" priority="65"/>
  </conditionalFormatting>
  <conditionalFormatting sqref="J4:K6">
    <cfRule type="duplicateValues" dxfId="311" priority="66"/>
  </conditionalFormatting>
  <conditionalFormatting sqref="C4:F6 H4:I4">
    <cfRule type="duplicateValues" dxfId="310" priority="68"/>
  </conditionalFormatting>
  <conditionalFormatting sqref="Q6:S6 BS6:BV6 BG5:BV5 CC5:CD5 CF5:CG5 CE5:CE6 CH5:CT6 BW5:CB6 BC5:BF6 BD6:BK6 U6:AC6 W5:AC5 AE5:AT6">
    <cfRule type="cellIs" dxfId="309" priority="58" operator="equal">
      <formula>"wrong"</formula>
    </cfRule>
  </conditionalFormatting>
  <conditionalFormatting sqref="CV5">
    <cfRule type="duplicateValues" dxfId="308" priority="41"/>
  </conditionalFormatting>
  <conditionalFormatting sqref="G7:G10 G12:G13 G15:G19 G21:G27 G29:G48">
    <cfRule type="cellIs" dxfId="307" priority="35" operator="equal">
      <formula>"CVT_LE"</formula>
    </cfRule>
    <cfRule type="cellIs" dxfId="306" priority="36" operator="equal">
      <formula>"FS"</formula>
    </cfRule>
    <cfRule type="cellIs" dxfId="305" priority="37" operator="equal">
      <formula>"AS"</formula>
    </cfRule>
    <cfRule type="cellIs" dxfId="304" priority="38" operator="equal">
      <formula>"CVT"</formula>
    </cfRule>
  </conditionalFormatting>
  <conditionalFormatting sqref="AU6:AW6 AV5:AW5 BA5:BB6">
    <cfRule type="cellIs" dxfId="303" priority="34" operator="equal">
      <formula>"wrong"</formula>
    </cfRule>
  </conditionalFormatting>
  <conditionalFormatting sqref="T6">
    <cfRule type="cellIs" dxfId="302" priority="33" operator="equal">
      <formula>"wrong"</formula>
    </cfRule>
  </conditionalFormatting>
  <conditionalFormatting sqref="AU5">
    <cfRule type="cellIs" dxfId="301" priority="32" operator="equal">
      <formula>"wrong"</formula>
    </cfRule>
  </conditionalFormatting>
  <conditionalFormatting sqref="AY5:AY6">
    <cfRule type="cellIs" dxfId="300" priority="29" operator="equal">
      <formula>"wrong"</formula>
    </cfRule>
  </conditionalFormatting>
  <conditionalFormatting sqref="AX5:AX6">
    <cfRule type="cellIs" dxfId="299" priority="31" operator="equal">
      <formula>"wrong"</formula>
    </cfRule>
  </conditionalFormatting>
  <conditionalFormatting sqref="AX5:AX6">
    <cfRule type="cellIs" dxfId="298" priority="30" operator="equal">
      <formula>"wrong"</formula>
    </cfRule>
  </conditionalFormatting>
  <conditionalFormatting sqref="G49:G53">
    <cfRule type="cellIs" dxfId="297" priority="24" operator="equal">
      <formula>"CVT_LE"</formula>
    </cfRule>
    <cfRule type="cellIs" dxfId="296" priority="25" operator="equal">
      <formula>"FS"</formula>
    </cfRule>
    <cfRule type="cellIs" dxfId="295" priority="26" operator="equal">
      <formula>"AS"</formula>
    </cfRule>
    <cfRule type="cellIs" dxfId="294" priority="27" operator="equal">
      <formula>"CVT"</formula>
    </cfRule>
  </conditionalFormatting>
  <conditionalFormatting sqref="B52:B54">
    <cfRule type="duplicateValues" dxfId="293" priority="23"/>
  </conditionalFormatting>
  <conditionalFormatting sqref="B11">
    <cfRule type="duplicateValues" dxfId="292" priority="22"/>
  </conditionalFormatting>
  <conditionalFormatting sqref="G11">
    <cfRule type="cellIs" dxfId="291" priority="18" operator="equal">
      <formula>"CVT_LE"</formula>
    </cfRule>
    <cfRule type="cellIs" dxfId="290" priority="19" operator="equal">
      <formula>"FS"</formula>
    </cfRule>
    <cfRule type="cellIs" dxfId="289" priority="20" operator="equal">
      <formula>"AS"</formula>
    </cfRule>
    <cfRule type="cellIs" dxfId="288" priority="21" operator="equal">
      <formula>"CVT"</formula>
    </cfRule>
  </conditionalFormatting>
  <conditionalFormatting sqref="B14">
    <cfRule type="duplicateValues" dxfId="287" priority="17"/>
  </conditionalFormatting>
  <conditionalFormatting sqref="G14">
    <cfRule type="cellIs" dxfId="286" priority="13" operator="equal">
      <formula>"CVT_LE"</formula>
    </cfRule>
    <cfRule type="cellIs" dxfId="285" priority="14" operator="equal">
      <formula>"FS"</formula>
    </cfRule>
    <cfRule type="cellIs" dxfId="284" priority="15" operator="equal">
      <formula>"AS"</formula>
    </cfRule>
    <cfRule type="cellIs" dxfId="283" priority="16" operator="equal">
      <formula>"CVT"</formula>
    </cfRule>
  </conditionalFormatting>
  <conditionalFormatting sqref="B20">
    <cfRule type="duplicateValues" dxfId="282" priority="12"/>
  </conditionalFormatting>
  <conditionalFormatting sqref="G20">
    <cfRule type="cellIs" dxfId="281" priority="8" operator="equal">
      <formula>"CVT_LE"</formula>
    </cfRule>
    <cfRule type="cellIs" dxfId="280" priority="9" operator="equal">
      <formula>"FS"</formula>
    </cfRule>
    <cfRule type="cellIs" dxfId="279" priority="10" operator="equal">
      <formula>"AS"</formula>
    </cfRule>
    <cfRule type="cellIs" dxfId="278" priority="11" operator="equal">
      <formula>"CVT"</formula>
    </cfRule>
  </conditionalFormatting>
  <conditionalFormatting sqref="B28">
    <cfRule type="duplicateValues" dxfId="277" priority="7"/>
  </conditionalFormatting>
  <conditionalFormatting sqref="G28">
    <cfRule type="cellIs" dxfId="276" priority="3" operator="equal">
      <formula>"CVT_LE"</formula>
    </cfRule>
    <cfRule type="cellIs" dxfId="275" priority="4" operator="equal">
      <formula>"FS"</formula>
    </cfRule>
    <cfRule type="cellIs" dxfId="274" priority="5" operator="equal">
      <formula>"AS"</formula>
    </cfRule>
    <cfRule type="cellIs" dxfId="273" priority="6" operator="equal">
      <formula>"CVT"</formula>
    </cfRule>
  </conditionalFormatting>
  <conditionalFormatting sqref="B49">
    <cfRule type="duplicateValues" dxfId="272" priority="2"/>
  </conditionalFormatting>
  <conditionalFormatting sqref="B50">
    <cfRule type="duplicateValues" dxfId="271" priority="1"/>
  </conditionalFormatting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45"/>
  <sheetViews>
    <sheetView zoomScale="85" zoomScaleNormal="85" workbookViewId="0">
      <selection activeCell="L31" sqref="L31"/>
    </sheetView>
  </sheetViews>
  <sheetFormatPr baseColWidth="10" defaultRowHeight="12.75" x14ac:dyDescent="0.2"/>
  <cols>
    <col min="1" max="1" width="21.140625" customWidth="1"/>
    <col min="2" max="2" width="11.85546875" customWidth="1"/>
    <col min="3" max="6" width="6.85546875" style="1" customWidth="1"/>
    <col min="7" max="8" width="10.7109375" customWidth="1"/>
    <col min="9" max="9" width="14.42578125" customWidth="1"/>
    <col min="10" max="12" width="14.5703125" customWidth="1"/>
    <col min="13" max="13" width="12.28515625" customWidth="1"/>
    <col min="14" max="15" width="11" customWidth="1"/>
    <col min="16" max="16" width="9.42578125" customWidth="1"/>
    <col min="17" max="17" width="10" customWidth="1"/>
    <col min="19" max="19" width="9.140625" customWidth="1"/>
    <col min="20" max="20" width="12.7109375" customWidth="1"/>
    <col min="21" max="21" width="13" customWidth="1"/>
    <col min="22" max="22" width="13.85546875" customWidth="1"/>
    <col min="23" max="23" width="17" customWidth="1"/>
    <col min="24" max="24" width="13.7109375" customWidth="1"/>
    <col min="25" max="25" width="12.85546875" customWidth="1"/>
    <col min="27" max="27" width="13.28515625" customWidth="1"/>
    <col min="28" max="28" width="14.7109375" customWidth="1"/>
    <col min="29" max="29" width="14.42578125" customWidth="1"/>
    <col min="30" max="30" width="15.28515625" customWidth="1"/>
    <col min="31" max="31" width="14.7109375" customWidth="1"/>
    <col min="32" max="32" width="13.28515625" customWidth="1"/>
    <col min="33" max="33" width="36.28515625" customWidth="1"/>
  </cols>
  <sheetData>
    <row r="1" spans="1:33" ht="88.5" customHeight="1" x14ac:dyDescent="0.2">
      <c r="A1" s="146" t="s">
        <v>0</v>
      </c>
      <c r="B1" s="145" t="s">
        <v>174</v>
      </c>
      <c r="C1" s="145" t="s">
        <v>270</v>
      </c>
      <c r="D1" s="145" t="s">
        <v>177</v>
      </c>
      <c r="E1" s="145" t="s">
        <v>176</v>
      </c>
      <c r="F1" s="145" t="s">
        <v>178</v>
      </c>
      <c r="G1" s="145" t="s">
        <v>325</v>
      </c>
      <c r="H1" s="145" t="s">
        <v>185</v>
      </c>
      <c r="I1" s="144" t="s">
        <v>97</v>
      </c>
      <c r="J1" s="144" t="s">
        <v>98</v>
      </c>
      <c r="K1" s="144" t="s">
        <v>170</v>
      </c>
      <c r="L1" s="144" t="s">
        <v>171</v>
      </c>
      <c r="M1" s="144" t="s">
        <v>189</v>
      </c>
      <c r="N1" s="144" t="s">
        <v>100</v>
      </c>
      <c r="O1" s="144" t="s">
        <v>312</v>
      </c>
      <c r="P1" s="144" t="s">
        <v>101</v>
      </c>
      <c r="Q1" s="144" t="s">
        <v>139</v>
      </c>
      <c r="R1" s="144" t="s">
        <v>186</v>
      </c>
      <c r="S1" s="144" t="s">
        <v>154</v>
      </c>
      <c r="T1" s="144" t="s">
        <v>110</v>
      </c>
      <c r="U1" s="144" t="s">
        <v>111</v>
      </c>
      <c r="V1" s="144" t="s">
        <v>134</v>
      </c>
      <c r="W1" s="144" t="s">
        <v>153</v>
      </c>
      <c r="X1" s="144" t="s">
        <v>151</v>
      </c>
      <c r="Y1" s="144" t="s">
        <v>152</v>
      </c>
      <c r="Z1" s="144" t="s">
        <v>106</v>
      </c>
      <c r="AA1" s="143" t="s">
        <v>108</v>
      </c>
      <c r="AB1" s="143" t="s">
        <v>310</v>
      </c>
      <c r="AC1" s="143" t="s">
        <v>311</v>
      </c>
      <c r="AD1" s="143" t="s">
        <v>148</v>
      </c>
      <c r="AE1" s="143" t="s">
        <v>103</v>
      </c>
      <c r="AF1" s="143" t="s">
        <v>104</v>
      </c>
      <c r="AG1" s="142" t="s">
        <v>46</v>
      </c>
    </row>
    <row r="2" spans="1:33" ht="20.25" customHeight="1" thickBot="1" x14ac:dyDescent="0.25">
      <c r="A2" s="141"/>
      <c r="B2" s="139"/>
      <c r="C2" s="140"/>
      <c r="D2" s="140"/>
      <c r="E2" s="140"/>
      <c r="F2" s="140"/>
      <c r="G2" s="139"/>
      <c r="H2" s="139"/>
      <c r="I2" s="138" t="s">
        <v>664</v>
      </c>
      <c r="J2" s="138" t="s">
        <v>42</v>
      </c>
      <c r="K2" s="138" t="s">
        <v>42</v>
      </c>
      <c r="L2" s="138" t="s">
        <v>42</v>
      </c>
      <c r="M2" s="138" t="s">
        <v>42</v>
      </c>
      <c r="N2" s="138" t="s">
        <v>42</v>
      </c>
      <c r="O2" s="138" t="s">
        <v>42</v>
      </c>
      <c r="P2" s="138" t="s">
        <v>43</v>
      </c>
      <c r="Q2" s="138" t="s">
        <v>43</v>
      </c>
      <c r="R2" s="138" t="s">
        <v>43</v>
      </c>
      <c r="S2" s="138" t="s">
        <v>82</v>
      </c>
      <c r="T2" s="137" t="s">
        <v>44</v>
      </c>
      <c r="U2" s="137" t="s">
        <v>44</v>
      </c>
      <c r="V2" s="137" t="s">
        <v>44</v>
      </c>
      <c r="W2" s="137" t="s">
        <v>44</v>
      </c>
      <c r="X2" s="137" t="s">
        <v>44</v>
      </c>
      <c r="Y2" s="137" t="s">
        <v>44</v>
      </c>
      <c r="Z2" s="137" t="s">
        <v>44</v>
      </c>
      <c r="AA2" s="137" t="s">
        <v>82</v>
      </c>
      <c r="AB2" s="137"/>
      <c r="AC2" s="137"/>
      <c r="AD2" s="137" t="s">
        <v>149</v>
      </c>
      <c r="AE2" s="137" t="s">
        <v>42</v>
      </c>
      <c r="AF2" s="137" t="s">
        <v>44</v>
      </c>
      <c r="AG2" s="136"/>
    </row>
    <row r="3" spans="1:33" ht="15" thickTop="1" x14ac:dyDescent="0.2">
      <c r="A3" s="168" t="s">
        <v>1</v>
      </c>
      <c r="B3" s="169" t="s">
        <v>180</v>
      </c>
      <c r="C3" s="170" t="s">
        <v>94</v>
      </c>
      <c r="D3" s="170" t="s">
        <v>94</v>
      </c>
      <c r="E3" s="170" t="s">
        <v>94</v>
      </c>
      <c r="F3" s="170" t="s">
        <v>94</v>
      </c>
      <c r="G3" s="171"/>
      <c r="H3" s="171"/>
      <c r="I3" s="172">
        <v>5</v>
      </c>
      <c r="J3" s="172">
        <v>30</v>
      </c>
      <c r="K3" s="172">
        <v>275</v>
      </c>
      <c r="L3" s="172">
        <v>250</v>
      </c>
      <c r="M3" s="172"/>
      <c r="N3" s="172">
        <v>160</v>
      </c>
      <c r="O3" s="172">
        <v>5</v>
      </c>
      <c r="P3" s="172">
        <v>0</v>
      </c>
      <c r="Q3" s="172">
        <v>1439</v>
      </c>
      <c r="R3" s="172"/>
      <c r="S3" s="172" t="s">
        <v>2</v>
      </c>
      <c r="T3" s="170" t="s">
        <v>2</v>
      </c>
      <c r="U3" s="172" t="s">
        <v>2</v>
      </c>
      <c r="V3" s="172" t="s">
        <v>2</v>
      </c>
      <c r="W3" s="170" t="s">
        <v>2</v>
      </c>
      <c r="X3" s="170" t="s">
        <v>2</v>
      </c>
      <c r="Y3" s="172"/>
      <c r="Z3" s="172" t="s">
        <v>2</v>
      </c>
      <c r="AA3" s="172"/>
      <c r="AB3" s="172"/>
      <c r="AC3" s="172"/>
      <c r="AD3" s="172" t="s">
        <v>45</v>
      </c>
      <c r="AE3" s="172"/>
      <c r="AF3" s="172"/>
      <c r="AG3" s="173"/>
    </row>
    <row r="4" spans="1:33" ht="14.25" x14ac:dyDescent="0.2">
      <c r="A4" s="174" t="s">
        <v>159</v>
      </c>
      <c r="B4" s="175" t="s">
        <v>179</v>
      </c>
      <c r="C4" s="176"/>
      <c r="D4" s="176"/>
      <c r="E4" s="176"/>
      <c r="F4" s="176"/>
      <c r="G4" s="176" t="s">
        <v>94</v>
      </c>
      <c r="H4" s="177"/>
      <c r="I4" s="178">
        <v>23</v>
      </c>
      <c r="J4" s="178">
        <v>30</v>
      </c>
      <c r="K4" s="178">
        <v>275</v>
      </c>
      <c r="L4" s="178">
        <v>250</v>
      </c>
      <c r="M4" s="178">
        <v>230</v>
      </c>
      <c r="N4" s="178">
        <v>160</v>
      </c>
      <c r="O4" s="178">
        <v>5</v>
      </c>
      <c r="P4" s="178">
        <v>0</v>
      </c>
      <c r="Q4" s="178">
        <v>1439</v>
      </c>
      <c r="R4" s="178"/>
      <c r="S4" s="178" t="s">
        <v>2</v>
      </c>
      <c r="T4" s="179"/>
      <c r="U4" s="178"/>
      <c r="V4" s="178"/>
      <c r="W4" s="176" t="s">
        <v>2</v>
      </c>
      <c r="X4" s="176" t="s">
        <v>2</v>
      </c>
      <c r="Y4" s="178"/>
      <c r="Z4" s="178"/>
      <c r="AA4" s="178"/>
      <c r="AB4" s="178"/>
      <c r="AC4" s="178"/>
      <c r="AD4" s="178" t="s">
        <v>45</v>
      </c>
      <c r="AE4" s="178"/>
      <c r="AF4" s="178"/>
      <c r="AG4" s="180"/>
    </row>
    <row r="5" spans="1:33" ht="14.25" x14ac:dyDescent="0.2">
      <c r="A5" s="174" t="s">
        <v>160</v>
      </c>
      <c r="B5" s="177" t="s">
        <v>180</v>
      </c>
      <c r="C5" s="176" t="s">
        <v>94</v>
      </c>
      <c r="D5" s="176" t="s">
        <v>94</v>
      </c>
      <c r="E5" s="176" t="s">
        <v>94</v>
      </c>
      <c r="F5" s="176" t="s">
        <v>94</v>
      </c>
      <c r="G5" s="176" t="s">
        <v>94</v>
      </c>
      <c r="H5" s="177"/>
      <c r="I5" s="178">
        <v>46</v>
      </c>
      <c r="J5" s="178">
        <v>30</v>
      </c>
      <c r="K5" s="178">
        <v>275</v>
      </c>
      <c r="L5" s="178">
        <v>250</v>
      </c>
      <c r="M5" s="178">
        <v>230</v>
      </c>
      <c r="N5" s="178">
        <v>160</v>
      </c>
      <c r="O5" s="178">
        <v>5</v>
      </c>
      <c r="P5" s="178">
        <v>0</v>
      </c>
      <c r="Q5" s="178">
        <v>1439</v>
      </c>
      <c r="R5" s="178"/>
      <c r="S5" s="178" t="s">
        <v>2</v>
      </c>
      <c r="T5" s="179"/>
      <c r="U5" s="178"/>
      <c r="V5" s="178"/>
      <c r="W5" s="176" t="s">
        <v>2</v>
      </c>
      <c r="X5" s="176" t="s">
        <v>2</v>
      </c>
      <c r="Y5" s="178"/>
      <c r="Z5" s="178"/>
      <c r="AA5" s="178"/>
      <c r="AB5" s="178"/>
      <c r="AC5" s="178"/>
      <c r="AD5" s="178" t="s">
        <v>45</v>
      </c>
      <c r="AE5" s="178"/>
      <c r="AF5" s="178"/>
      <c r="AG5" s="180"/>
    </row>
    <row r="6" spans="1:33" ht="14.25" x14ac:dyDescent="0.2">
      <c r="A6" s="174" t="s">
        <v>4</v>
      </c>
      <c r="B6" s="177" t="s">
        <v>180</v>
      </c>
      <c r="C6" s="176" t="s">
        <v>94</v>
      </c>
      <c r="D6" s="176" t="s">
        <v>94</v>
      </c>
      <c r="E6" s="176" t="s">
        <v>94</v>
      </c>
      <c r="F6" s="176" t="s">
        <v>94</v>
      </c>
      <c r="G6" s="176" t="s">
        <v>94</v>
      </c>
      <c r="H6" s="177"/>
      <c r="I6" s="178">
        <v>2</v>
      </c>
      <c r="J6" s="178">
        <v>30</v>
      </c>
      <c r="K6" s="178">
        <v>300</v>
      </c>
      <c r="L6" s="178">
        <v>250</v>
      </c>
      <c r="M6" s="178">
        <v>230</v>
      </c>
      <c r="N6" s="178">
        <v>170</v>
      </c>
      <c r="O6" s="178">
        <v>5</v>
      </c>
      <c r="P6" s="178">
        <v>0</v>
      </c>
      <c r="Q6" s="178">
        <v>1439</v>
      </c>
      <c r="R6" s="178"/>
      <c r="S6" s="178" t="s">
        <v>2</v>
      </c>
      <c r="T6" s="176" t="s">
        <v>2</v>
      </c>
      <c r="U6" s="178" t="s">
        <v>2</v>
      </c>
      <c r="V6" s="178" t="s">
        <v>2</v>
      </c>
      <c r="W6" s="176" t="s">
        <v>2</v>
      </c>
      <c r="X6" s="176" t="s">
        <v>2</v>
      </c>
      <c r="Y6" s="178"/>
      <c r="Z6" s="178" t="s">
        <v>2</v>
      </c>
      <c r="AA6" s="178"/>
      <c r="AB6" s="178"/>
      <c r="AC6" s="178"/>
      <c r="AD6" s="178" t="s">
        <v>45</v>
      </c>
      <c r="AE6" s="178"/>
      <c r="AF6" s="178"/>
      <c r="AG6" s="180"/>
    </row>
    <row r="7" spans="1:33" ht="14.25" x14ac:dyDescent="0.2">
      <c r="A7" s="174" t="s">
        <v>161</v>
      </c>
      <c r="B7" s="177" t="s">
        <v>180</v>
      </c>
      <c r="C7" s="176" t="s">
        <v>94</v>
      </c>
      <c r="D7" s="176" t="s">
        <v>94</v>
      </c>
      <c r="E7" s="176" t="s">
        <v>94</v>
      </c>
      <c r="F7" s="176" t="s">
        <v>94</v>
      </c>
      <c r="G7" s="176" t="s">
        <v>94</v>
      </c>
      <c r="H7" s="177"/>
      <c r="I7" s="178">
        <v>3</v>
      </c>
      <c r="J7" s="178">
        <v>30</v>
      </c>
      <c r="K7" s="178">
        <v>300</v>
      </c>
      <c r="L7" s="178">
        <v>250</v>
      </c>
      <c r="M7" s="178">
        <v>230</v>
      </c>
      <c r="N7" s="178">
        <v>170</v>
      </c>
      <c r="O7" s="178">
        <v>5</v>
      </c>
      <c r="P7" s="178">
        <v>0</v>
      </c>
      <c r="Q7" s="178">
        <v>1439</v>
      </c>
      <c r="R7" s="178"/>
      <c r="S7" s="178" t="s">
        <v>2</v>
      </c>
      <c r="T7" s="179"/>
      <c r="U7" s="178"/>
      <c r="V7" s="178"/>
      <c r="W7" s="176" t="s">
        <v>2</v>
      </c>
      <c r="X7" s="176" t="s">
        <v>2</v>
      </c>
      <c r="Y7" s="178"/>
      <c r="Z7" s="178"/>
      <c r="AA7" s="178"/>
      <c r="AB7" s="178"/>
      <c r="AC7" s="178"/>
      <c r="AD7" s="178" t="s">
        <v>45</v>
      </c>
      <c r="AE7" s="178"/>
      <c r="AF7" s="178"/>
      <c r="AG7" s="180"/>
    </row>
    <row r="8" spans="1:33" ht="14.25" x14ac:dyDescent="0.2">
      <c r="A8" s="174" t="s">
        <v>162</v>
      </c>
      <c r="B8" s="177" t="s">
        <v>180</v>
      </c>
      <c r="C8" s="176" t="s">
        <v>94</v>
      </c>
      <c r="D8" s="176" t="s">
        <v>94</v>
      </c>
      <c r="E8" s="176" t="s">
        <v>94</v>
      </c>
      <c r="F8" s="176" t="s">
        <v>94</v>
      </c>
      <c r="G8" s="176" t="s">
        <v>94</v>
      </c>
      <c r="H8" s="177"/>
      <c r="I8" s="178">
        <v>6</v>
      </c>
      <c r="J8" s="178">
        <v>30</v>
      </c>
      <c r="K8" s="178">
        <v>300</v>
      </c>
      <c r="L8" s="178">
        <v>250</v>
      </c>
      <c r="M8" s="178">
        <v>230</v>
      </c>
      <c r="N8" s="178">
        <v>180</v>
      </c>
      <c r="O8" s="178">
        <v>5</v>
      </c>
      <c r="P8" s="178">
        <v>0</v>
      </c>
      <c r="Q8" s="178">
        <v>1439</v>
      </c>
      <c r="R8" s="178"/>
      <c r="S8" s="178" t="s">
        <v>2</v>
      </c>
      <c r="T8" s="179"/>
      <c r="U8" s="178" t="s">
        <v>2</v>
      </c>
      <c r="V8" s="178" t="s">
        <v>2</v>
      </c>
      <c r="W8" s="176" t="s">
        <v>2</v>
      </c>
      <c r="X8" s="176" t="s">
        <v>2</v>
      </c>
      <c r="Y8" s="178"/>
      <c r="Z8" s="178" t="s">
        <v>2</v>
      </c>
      <c r="AA8" s="178"/>
      <c r="AB8" s="178"/>
      <c r="AC8" s="178"/>
      <c r="AD8" s="178" t="s">
        <v>45</v>
      </c>
      <c r="AE8" s="178"/>
      <c r="AF8" s="178"/>
      <c r="AG8" s="180"/>
    </row>
    <row r="9" spans="1:33" ht="14.25" x14ac:dyDescent="0.2">
      <c r="A9" s="174" t="s">
        <v>163</v>
      </c>
      <c r="B9" s="177" t="s">
        <v>180</v>
      </c>
      <c r="C9" s="176" t="s">
        <v>94</v>
      </c>
      <c r="D9" s="176" t="s">
        <v>94</v>
      </c>
      <c r="E9" s="176" t="s">
        <v>94</v>
      </c>
      <c r="F9" s="176" t="s">
        <v>94</v>
      </c>
      <c r="G9" s="176"/>
      <c r="H9" s="175"/>
      <c r="I9" s="178">
        <v>12</v>
      </c>
      <c r="J9" s="178">
        <v>30</v>
      </c>
      <c r="K9" s="178">
        <v>275</v>
      </c>
      <c r="L9" s="178">
        <v>250</v>
      </c>
      <c r="M9" s="178"/>
      <c r="N9" s="178">
        <v>200</v>
      </c>
      <c r="O9" s="178">
        <v>5</v>
      </c>
      <c r="P9" s="178">
        <v>0</v>
      </c>
      <c r="Q9" s="178">
        <v>1439</v>
      </c>
      <c r="R9" s="178"/>
      <c r="S9" s="178" t="s">
        <v>2</v>
      </c>
      <c r="T9" s="179"/>
      <c r="U9" s="178"/>
      <c r="V9" s="178"/>
      <c r="W9" s="176" t="s">
        <v>2</v>
      </c>
      <c r="X9" s="176" t="s">
        <v>2</v>
      </c>
      <c r="Y9" s="178"/>
      <c r="Z9" s="178"/>
      <c r="AA9" s="178"/>
      <c r="AB9" s="178"/>
      <c r="AC9" s="178"/>
      <c r="AD9" s="178" t="s">
        <v>45</v>
      </c>
      <c r="AE9" s="178"/>
      <c r="AF9" s="178"/>
      <c r="AG9" s="180"/>
    </row>
    <row r="10" spans="1:33" ht="14.25" x14ac:dyDescent="0.2">
      <c r="A10" s="174" t="s">
        <v>164</v>
      </c>
      <c r="B10" s="177" t="s">
        <v>181</v>
      </c>
      <c r="C10" s="176" t="s">
        <v>94</v>
      </c>
      <c r="D10" s="176" t="s">
        <v>94</v>
      </c>
      <c r="E10" s="176" t="s">
        <v>94</v>
      </c>
      <c r="F10" s="176" t="s">
        <v>94</v>
      </c>
      <c r="G10" s="176"/>
      <c r="H10" s="175"/>
      <c r="I10" s="178">
        <v>4</v>
      </c>
      <c r="J10" s="178">
        <v>30</v>
      </c>
      <c r="K10" s="178">
        <v>300</v>
      </c>
      <c r="L10" s="178">
        <v>250</v>
      </c>
      <c r="M10" s="178"/>
      <c r="N10" s="178">
        <v>190</v>
      </c>
      <c r="O10" s="178">
        <v>5</v>
      </c>
      <c r="P10" s="178">
        <v>0</v>
      </c>
      <c r="Q10" s="178">
        <v>1439</v>
      </c>
      <c r="R10" s="178"/>
      <c r="S10" s="178" t="s">
        <v>2</v>
      </c>
      <c r="T10" s="176" t="s">
        <v>2</v>
      </c>
      <c r="U10" s="178"/>
      <c r="V10" s="178"/>
      <c r="W10" s="176" t="s">
        <v>2</v>
      </c>
      <c r="X10" s="176" t="s">
        <v>2</v>
      </c>
      <c r="Y10" s="178"/>
      <c r="Z10" s="178"/>
      <c r="AA10" s="178"/>
      <c r="AB10" s="178"/>
      <c r="AC10" s="178"/>
      <c r="AD10" s="178" t="s">
        <v>45</v>
      </c>
      <c r="AE10" s="178"/>
      <c r="AF10" s="178"/>
      <c r="AG10" s="180"/>
    </row>
    <row r="11" spans="1:33" ht="14.25" x14ac:dyDescent="0.2">
      <c r="A11" s="174" t="s">
        <v>165</v>
      </c>
      <c r="B11" s="177" t="s">
        <v>180</v>
      </c>
      <c r="C11" s="176" t="s">
        <v>94</v>
      </c>
      <c r="D11" s="176" t="s">
        <v>94</v>
      </c>
      <c r="E11" s="176" t="s">
        <v>94</v>
      </c>
      <c r="F11" s="176" t="s">
        <v>94</v>
      </c>
      <c r="G11" s="176" t="s">
        <v>94</v>
      </c>
      <c r="H11" s="177"/>
      <c r="I11" s="178">
        <v>24</v>
      </c>
      <c r="J11" s="178">
        <v>70</v>
      </c>
      <c r="K11" s="178">
        <v>120</v>
      </c>
      <c r="L11" s="178">
        <v>120</v>
      </c>
      <c r="M11" s="178">
        <v>120</v>
      </c>
      <c r="N11" s="178">
        <v>80</v>
      </c>
      <c r="O11" s="178">
        <v>5</v>
      </c>
      <c r="P11" s="178">
        <v>0</v>
      </c>
      <c r="Q11" s="178">
        <v>1439</v>
      </c>
      <c r="R11" s="178"/>
      <c r="S11" s="178" t="s">
        <v>2</v>
      </c>
      <c r="T11" s="179"/>
      <c r="U11" s="178"/>
      <c r="V11" s="178"/>
      <c r="W11" s="176" t="s">
        <v>2</v>
      </c>
      <c r="X11" s="176"/>
      <c r="Y11" s="178"/>
      <c r="Z11" s="178"/>
      <c r="AA11" s="178"/>
      <c r="AB11" s="178"/>
      <c r="AC11" s="178"/>
      <c r="AD11" s="178" t="s">
        <v>45</v>
      </c>
      <c r="AE11" s="178"/>
      <c r="AF11" s="178"/>
      <c r="AG11" s="180"/>
    </row>
    <row r="12" spans="1:33" ht="14.25" x14ac:dyDescent="0.2">
      <c r="A12" s="174" t="s">
        <v>5</v>
      </c>
      <c r="B12" s="177" t="s">
        <v>180</v>
      </c>
      <c r="C12" s="176" t="s">
        <v>94</v>
      </c>
      <c r="D12" s="176" t="s">
        <v>94</v>
      </c>
      <c r="E12" s="176" t="s">
        <v>94</v>
      </c>
      <c r="F12" s="176" t="s">
        <v>94</v>
      </c>
      <c r="G12" s="176" t="s">
        <v>94</v>
      </c>
      <c r="H12" s="177"/>
      <c r="I12" s="178">
        <v>8</v>
      </c>
      <c r="J12" s="179">
        <v>1</v>
      </c>
      <c r="K12" s="179">
        <v>3</v>
      </c>
      <c r="L12" s="179">
        <v>3</v>
      </c>
      <c r="M12" s="179">
        <v>3</v>
      </c>
      <c r="N12" s="179">
        <v>3</v>
      </c>
      <c r="O12" s="179">
        <v>1</v>
      </c>
      <c r="P12" s="178">
        <v>0</v>
      </c>
      <c r="Q12" s="178">
        <v>1439</v>
      </c>
      <c r="R12" s="178"/>
      <c r="S12" s="178" t="s">
        <v>2</v>
      </c>
      <c r="T12" s="179"/>
      <c r="U12" s="178"/>
      <c r="V12" s="178" t="s">
        <v>2</v>
      </c>
      <c r="W12" s="176"/>
      <c r="X12" s="176"/>
      <c r="Y12" s="178"/>
      <c r="Z12" s="178"/>
      <c r="AA12" s="178"/>
      <c r="AB12" s="178"/>
      <c r="AC12" s="178"/>
      <c r="AD12" s="178" t="s">
        <v>45</v>
      </c>
      <c r="AE12" s="178"/>
      <c r="AF12" s="178"/>
      <c r="AG12" s="180"/>
    </row>
    <row r="13" spans="1:33" ht="14.25" x14ac:dyDescent="0.2">
      <c r="A13" s="174" t="s">
        <v>6</v>
      </c>
      <c r="B13" s="177" t="s">
        <v>180</v>
      </c>
      <c r="C13" s="176" t="s">
        <v>94</v>
      </c>
      <c r="D13" s="176" t="s">
        <v>94</v>
      </c>
      <c r="E13" s="176" t="s">
        <v>94</v>
      </c>
      <c r="F13" s="176" t="s">
        <v>94</v>
      </c>
      <c r="G13" s="176" t="s">
        <v>94</v>
      </c>
      <c r="H13" s="177"/>
      <c r="I13" s="178">
        <v>7</v>
      </c>
      <c r="J13" s="179">
        <v>1</v>
      </c>
      <c r="K13" s="179">
        <v>3</v>
      </c>
      <c r="L13" s="179">
        <v>3</v>
      </c>
      <c r="M13" s="179">
        <v>3</v>
      </c>
      <c r="N13" s="179">
        <v>3</v>
      </c>
      <c r="O13" s="179">
        <v>1</v>
      </c>
      <c r="P13" s="178">
        <v>0</v>
      </c>
      <c r="Q13" s="178">
        <v>1439</v>
      </c>
      <c r="R13" s="178"/>
      <c r="S13" s="178" t="s">
        <v>2</v>
      </c>
      <c r="T13" s="179"/>
      <c r="U13" s="178"/>
      <c r="V13" s="178" t="s">
        <v>2</v>
      </c>
      <c r="W13" s="176"/>
      <c r="X13" s="176"/>
      <c r="Y13" s="178"/>
      <c r="Z13" s="178"/>
      <c r="AA13" s="178"/>
      <c r="AB13" s="178"/>
      <c r="AC13" s="178"/>
      <c r="AD13" s="178" t="s">
        <v>45</v>
      </c>
      <c r="AE13" s="178"/>
      <c r="AF13" s="178"/>
      <c r="AG13" s="180"/>
    </row>
    <row r="14" spans="1:33" ht="14.25" x14ac:dyDescent="0.2">
      <c r="A14" s="174" t="s">
        <v>10</v>
      </c>
      <c r="B14" s="177" t="s">
        <v>182</v>
      </c>
      <c r="C14" s="176" t="s">
        <v>94</v>
      </c>
      <c r="D14" s="176" t="s">
        <v>94</v>
      </c>
      <c r="E14" s="176" t="s">
        <v>94</v>
      </c>
      <c r="F14" s="176" t="s">
        <v>94</v>
      </c>
      <c r="G14" s="176"/>
      <c r="H14" s="175"/>
      <c r="I14" s="178">
        <v>48</v>
      </c>
      <c r="J14" s="178">
        <v>30</v>
      </c>
      <c r="K14" s="178">
        <v>275</v>
      </c>
      <c r="L14" s="178">
        <v>250</v>
      </c>
      <c r="M14" s="178"/>
      <c r="N14" s="178">
        <v>200</v>
      </c>
      <c r="O14" s="178">
        <v>5</v>
      </c>
      <c r="P14" s="178">
        <v>0</v>
      </c>
      <c r="Q14" s="178">
        <v>1439</v>
      </c>
      <c r="R14" s="178"/>
      <c r="S14" s="178" t="s">
        <v>2</v>
      </c>
      <c r="T14" s="179"/>
      <c r="U14" s="178"/>
      <c r="V14" s="178"/>
      <c r="W14" s="176" t="s">
        <v>2</v>
      </c>
      <c r="X14" s="178"/>
      <c r="Y14" s="178"/>
      <c r="Z14" s="178"/>
      <c r="AA14" s="178"/>
      <c r="AB14" s="178"/>
      <c r="AC14" s="178"/>
      <c r="AD14" s="178" t="s">
        <v>45</v>
      </c>
      <c r="AE14" s="178"/>
      <c r="AF14" s="178"/>
      <c r="AG14" s="180"/>
    </row>
    <row r="15" spans="1:33" ht="14.25" x14ac:dyDescent="0.2">
      <c r="A15" s="174" t="s">
        <v>7</v>
      </c>
      <c r="B15" s="177" t="s">
        <v>180</v>
      </c>
      <c r="C15" s="176" t="s">
        <v>94</v>
      </c>
      <c r="D15" s="176" t="s">
        <v>94</v>
      </c>
      <c r="E15" s="176" t="s">
        <v>94</v>
      </c>
      <c r="F15" s="176" t="s">
        <v>94</v>
      </c>
      <c r="G15" s="176" t="s">
        <v>94</v>
      </c>
      <c r="H15" s="177"/>
      <c r="I15" s="178">
        <v>11</v>
      </c>
      <c r="J15" s="178">
        <v>30</v>
      </c>
      <c r="K15" s="178">
        <v>250</v>
      </c>
      <c r="L15" s="178">
        <v>250</v>
      </c>
      <c r="M15" s="178">
        <v>230</v>
      </c>
      <c r="N15" s="178">
        <v>150</v>
      </c>
      <c r="O15" s="178">
        <v>5</v>
      </c>
      <c r="P15" s="178">
        <v>0</v>
      </c>
      <c r="Q15" s="178">
        <v>1439</v>
      </c>
      <c r="R15" s="178"/>
      <c r="S15" s="178" t="s">
        <v>2</v>
      </c>
      <c r="T15" s="179"/>
      <c r="U15" s="178"/>
      <c r="V15" s="178"/>
      <c r="W15" s="176" t="s">
        <v>2</v>
      </c>
      <c r="X15" s="176" t="s">
        <v>2</v>
      </c>
      <c r="Y15" s="178"/>
      <c r="Z15" s="178"/>
      <c r="AA15" s="178"/>
      <c r="AB15" s="178"/>
      <c r="AC15" s="178"/>
      <c r="AD15" s="178" t="s">
        <v>45</v>
      </c>
      <c r="AE15" s="178"/>
      <c r="AF15" s="178"/>
      <c r="AG15" s="180"/>
    </row>
    <row r="16" spans="1:33" ht="14.25" x14ac:dyDescent="0.2">
      <c r="A16" s="174" t="s">
        <v>8</v>
      </c>
      <c r="B16" s="177" t="s">
        <v>180</v>
      </c>
      <c r="C16" s="176" t="s">
        <v>94</v>
      </c>
      <c r="D16" s="176" t="s">
        <v>94</v>
      </c>
      <c r="E16" s="176" t="s">
        <v>94</v>
      </c>
      <c r="F16" s="176" t="s">
        <v>94</v>
      </c>
      <c r="G16" s="176" t="s">
        <v>94</v>
      </c>
      <c r="H16" s="177"/>
      <c r="I16" s="178">
        <v>14</v>
      </c>
      <c r="J16" s="178">
        <v>50</v>
      </c>
      <c r="K16" s="178">
        <v>100</v>
      </c>
      <c r="L16" s="178">
        <v>100</v>
      </c>
      <c r="M16" s="178">
        <v>100</v>
      </c>
      <c r="N16" s="178">
        <v>65</v>
      </c>
      <c r="O16" s="178">
        <v>5</v>
      </c>
      <c r="P16" s="178">
        <v>0</v>
      </c>
      <c r="Q16" s="178">
        <v>1439</v>
      </c>
      <c r="R16" s="178"/>
      <c r="S16" s="178" t="s">
        <v>2</v>
      </c>
      <c r="T16" s="179"/>
      <c r="U16" s="178" t="s">
        <v>2</v>
      </c>
      <c r="V16" s="178"/>
      <c r="W16" s="176" t="s">
        <v>2</v>
      </c>
      <c r="X16" s="178"/>
      <c r="Y16" s="178"/>
      <c r="Z16" s="178" t="s">
        <v>2</v>
      </c>
      <c r="AA16" s="178"/>
      <c r="AB16" s="178"/>
      <c r="AC16" s="178"/>
      <c r="AD16" s="178" t="s">
        <v>45</v>
      </c>
      <c r="AE16" s="178"/>
      <c r="AF16" s="178"/>
      <c r="AG16" s="180"/>
    </row>
    <row r="17" spans="1:33" ht="14.25" x14ac:dyDescent="0.2">
      <c r="A17" s="174" t="s">
        <v>155</v>
      </c>
      <c r="B17" s="177" t="s">
        <v>183</v>
      </c>
      <c r="C17" s="176" t="s">
        <v>94</v>
      </c>
      <c r="D17" s="176" t="s">
        <v>94</v>
      </c>
      <c r="E17" s="176"/>
      <c r="F17" s="176"/>
      <c r="G17" s="176"/>
      <c r="H17" s="177"/>
      <c r="I17" s="178">
        <v>10</v>
      </c>
      <c r="J17" s="178">
        <v>3</v>
      </c>
      <c r="K17" s="178">
        <v>60</v>
      </c>
      <c r="L17" s="178">
        <v>60</v>
      </c>
      <c r="M17" s="178"/>
      <c r="N17" s="178">
        <v>30</v>
      </c>
      <c r="O17" s="178">
        <v>5</v>
      </c>
      <c r="P17" s="178">
        <v>0</v>
      </c>
      <c r="Q17" s="178"/>
      <c r="R17" s="178"/>
      <c r="S17" s="178" t="s">
        <v>2</v>
      </c>
      <c r="T17" s="179"/>
      <c r="U17" s="178"/>
      <c r="V17" s="178"/>
      <c r="W17" s="176" t="s">
        <v>2</v>
      </c>
      <c r="X17" s="178"/>
      <c r="Y17" s="178"/>
      <c r="Z17" s="178"/>
      <c r="AA17" s="178"/>
      <c r="AB17" s="178"/>
      <c r="AC17" s="178"/>
      <c r="AD17" s="178" t="s">
        <v>45</v>
      </c>
      <c r="AE17" s="178"/>
      <c r="AF17" s="178"/>
      <c r="AG17" s="180"/>
    </row>
    <row r="18" spans="1:33" ht="14.25" x14ac:dyDescent="0.2">
      <c r="A18" s="174" t="s">
        <v>156</v>
      </c>
      <c r="B18" s="177" t="s">
        <v>180</v>
      </c>
      <c r="C18" s="176" t="s">
        <v>94</v>
      </c>
      <c r="D18" s="176"/>
      <c r="E18" s="176"/>
      <c r="F18" s="176" t="s">
        <v>94</v>
      </c>
      <c r="G18" s="176"/>
      <c r="H18" s="177"/>
      <c r="I18" s="178">
        <v>16</v>
      </c>
      <c r="J18" s="178">
        <v>35</v>
      </c>
      <c r="K18" s="178">
        <v>50</v>
      </c>
      <c r="L18" s="178"/>
      <c r="M18" s="178"/>
      <c r="N18" s="178">
        <v>35</v>
      </c>
      <c r="O18" s="178">
        <v>5</v>
      </c>
      <c r="P18" s="178">
        <v>0</v>
      </c>
      <c r="Q18" s="178">
        <v>1439</v>
      </c>
      <c r="R18" s="178">
        <v>30</v>
      </c>
      <c r="S18" s="178"/>
      <c r="T18" s="179"/>
      <c r="U18" s="178"/>
      <c r="V18" s="178"/>
      <c r="W18" s="176" t="s">
        <v>2</v>
      </c>
      <c r="X18" s="178"/>
      <c r="Y18" s="178"/>
      <c r="Z18" s="178"/>
      <c r="AA18" s="178"/>
      <c r="AB18" s="178"/>
      <c r="AC18" s="178"/>
      <c r="AD18" s="178" t="s">
        <v>45</v>
      </c>
      <c r="AE18" s="178"/>
      <c r="AF18" s="178"/>
      <c r="AG18" s="180"/>
    </row>
    <row r="19" spans="1:33" ht="14.25" x14ac:dyDescent="0.2">
      <c r="A19" s="174" t="s">
        <v>157</v>
      </c>
      <c r="B19" s="177" t="s">
        <v>181</v>
      </c>
      <c r="C19" s="176" t="s">
        <v>94</v>
      </c>
      <c r="D19" s="176" t="s">
        <v>94</v>
      </c>
      <c r="E19" s="176" t="s">
        <v>94</v>
      </c>
      <c r="F19" s="176" t="s">
        <v>94</v>
      </c>
      <c r="G19" s="176"/>
      <c r="H19" s="175"/>
      <c r="I19" s="178">
        <v>47</v>
      </c>
      <c r="J19" s="178">
        <v>30</v>
      </c>
      <c r="K19" s="178">
        <v>130</v>
      </c>
      <c r="L19" s="178">
        <v>130</v>
      </c>
      <c r="M19" s="178"/>
      <c r="N19" s="178">
        <v>80</v>
      </c>
      <c r="O19" s="178">
        <v>5</v>
      </c>
      <c r="P19" s="178">
        <v>0</v>
      </c>
      <c r="Q19" s="178">
        <v>1439</v>
      </c>
      <c r="R19" s="178"/>
      <c r="S19" s="178" t="s">
        <v>2</v>
      </c>
      <c r="T19" s="179"/>
      <c r="U19" s="178"/>
      <c r="V19" s="178"/>
      <c r="W19" s="176" t="s">
        <v>2</v>
      </c>
      <c r="X19" s="178"/>
      <c r="Y19" s="178" t="s">
        <v>2</v>
      </c>
      <c r="Z19" s="178"/>
      <c r="AA19" s="178"/>
      <c r="AB19" s="178"/>
      <c r="AC19" s="178"/>
      <c r="AD19" s="178" t="s">
        <v>45</v>
      </c>
      <c r="AE19" s="178"/>
      <c r="AF19" s="178"/>
      <c r="AG19" s="180"/>
    </row>
    <row r="20" spans="1:33" ht="14.25" x14ac:dyDescent="0.2">
      <c r="A20" s="174" t="s">
        <v>9</v>
      </c>
      <c r="B20" s="177" t="s">
        <v>180</v>
      </c>
      <c r="C20" s="176" t="s">
        <v>94</v>
      </c>
      <c r="D20" s="176" t="s">
        <v>94</v>
      </c>
      <c r="E20" s="176" t="s">
        <v>94</v>
      </c>
      <c r="F20" s="176" t="s">
        <v>94</v>
      </c>
      <c r="G20" s="176" t="s">
        <v>94</v>
      </c>
      <c r="H20" s="175"/>
      <c r="I20" s="178">
        <v>15</v>
      </c>
      <c r="J20" s="178">
        <v>30</v>
      </c>
      <c r="K20" s="178">
        <v>70</v>
      </c>
      <c r="L20" s="178">
        <v>70</v>
      </c>
      <c r="M20" s="178">
        <v>70</v>
      </c>
      <c r="N20" s="178">
        <v>50</v>
      </c>
      <c r="O20" s="178">
        <v>5</v>
      </c>
      <c r="P20" s="178">
        <v>0</v>
      </c>
      <c r="Q20" s="178">
        <v>1439</v>
      </c>
      <c r="R20" s="178"/>
      <c r="S20" s="178" t="s">
        <v>2</v>
      </c>
      <c r="T20" s="179"/>
      <c r="U20" s="178"/>
      <c r="V20" s="178"/>
      <c r="W20" s="176" t="s">
        <v>2</v>
      </c>
      <c r="X20" s="178"/>
      <c r="Y20" s="178"/>
      <c r="Z20" s="178"/>
      <c r="AA20" s="178"/>
      <c r="AB20" s="178"/>
      <c r="AC20" s="178"/>
      <c r="AD20" s="178" t="s">
        <v>45</v>
      </c>
      <c r="AE20" s="178"/>
      <c r="AF20" s="178"/>
      <c r="AG20" s="180"/>
    </row>
    <row r="21" spans="1:33" ht="14.25" x14ac:dyDescent="0.2">
      <c r="A21" s="174" t="s">
        <v>158</v>
      </c>
      <c r="B21" s="177" t="s">
        <v>184</v>
      </c>
      <c r="C21" s="176"/>
      <c r="D21" s="176"/>
      <c r="E21" s="176"/>
      <c r="F21" s="176"/>
      <c r="G21" s="176"/>
      <c r="H21" s="177"/>
      <c r="I21" s="178"/>
      <c r="J21" s="178">
        <v>40</v>
      </c>
      <c r="K21" s="178">
        <v>100</v>
      </c>
      <c r="L21" s="178">
        <v>100</v>
      </c>
      <c r="M21" s="178">
        <v>100</v>
      </c>
      <c r="N21" s="178">
        <v>60</v>
      </c>
      <c r="O21" s="178">
        <v>5</v>
      </c>
      <c r="P21" s="178">
        <v>0</v>
      </c>
      <c r="Q21" s="178">
        <v>1439</v>
      </c>
      <c r="R21" s="178"/>
      <c r="S21" s="178" t="s">
        <v>2</v>
      </c>
      <c r="T21" s="179"/>
      <c r="U21" s="178"/>
      <c r="V21" s="178"/>
      <c r="W21" s="176" t="s">
        <v>2</v>
      </c>
      <c r="X21" s="178"/>
      <c r="Y21" s="178"/>
      <c r="Z21" s="178"/>
      <c r="AA21" s="178"/>
      <c r="AB21" s="178"/>
      <c r="AC21" s="178"/>
      <c r="AD21" s="178" t="s">
        <v>45</v>
      </c>
      <c r="AE21" s="178"/>
      <c r="AF21" s="178"/>
      <c r="AG21" s="180"/>
    </row>
    <row r="22" spans="1:33" ht="14.25" x14ac:dyDescent="0.2">
      <c r="A22" s="174" t="s">
        <v>166</v>
      </c>
      <c r="B22" s="177" t="s">
        <v>184</v>
      </c>
      <c r="C22" s="176" t="s">
        <v>94</v>
      </c>
      <c r="D22" s="176" t="s">
        <v>94</v>
      </c>
      <c r="E22" s="176" t="s">
        <v>94</v>
      </c>
      <c r="F22" s="176" t="s">
        <v>94</v>
      </c>
      <c r="G22" s="176" t="s">
        <v>94</v>
      </c>
      <c r="H22" s="177"/>
      <c r="I22" s="178">
        <v>21</v>
      </c>
      <c r="J22" s="178">
        <v>85</v>
      </c>
      <c r="K22" s="178">
        <v>140</v>
      </c>
      <c r="L22" s="178">
        <v>140</v>
      </c>
      <c r="M22" s="178">
        <v>140</v>
      </c>
      <c r="N22" s="178">
        <v>85</v>
      </c>
      <c r="O22" s="178">
        <v>5</v>
      </c>
      <c r="P22" s="178">
        <v>0</v>
      </c>
      <c r="Q22" s="178">
        <v>1439</v>
      </c>
      <c r="R22" s="178">
        <v>1439</v>
      </c>
      <c r="S22" s="178"/>
      <c r="T22" s="179"/>
      <c r="U22" s="178"/>
      <c r="V22" s="178"/>
      <c r="W22" s="176" t="s">
        <v>2</v>
      </c>
      <c r="X22" s="178"/>
      <c r="Y22" s="178" t="s">
        <v>2</v>
      </c>
      <c r="Z22" s="178"/>
      <c r="AA22" s="178"/>
      <c r="AB22" s="178"/>
      <c r="AC22" s="178"/>
      <c r="AD22" s="178" t="s">
        <v>45</v>
      </c>
      <c r="AE22" s="178"/>
      <c r="AF22" s="178"/>
      <c r="AG22" s="180"/>
    </row>
    <row r="23" spans="1:33" ht="15" x14ac:dyDescent="0.2">
      <c r="A23" s="174" t="s">
        <v>167</v>
      </c>
      <c r="B23" s="182" t="s">
        <v>180</v>
      </c>
      <c r="C23" s="176"/>
      <c r="D23" s="176"/>
      <c r="E23" s="176" t="s">
        <v>94</v>
      </c>
      <c r="F23" s="176"/>
      <c r="G23" s="176"/>
      <c r="H23" s="183" t="s">
        <v>94</v>
      </c>
      <c r="I23" s="178">
        <v>32</v>
      </c>
      <c r="J23" s="178">
        <v>30</v>
      </c>
      <c r="K23" s="178"/>
      <c r="L23" s="178">
        <v>100</v>
      </c>
      <c r="M23" s="178"/>
      <c r="N23" s="178">
        <v>100</v>
      </c>
      <c r="O23" s="178">
        <v>5</v>
      </c>
      <c r="P23" s="178">
        <v>0</v>
      </c>
      <c r="Q23" s="178">
        <v>240</v>
      </c>
      <c r="R23" s="178">
        <v>20</v>
      </c>
      <c r="S23" s="178"/>
      <c r="T23" s="179"/>
      <c r="U23" s="178"/>
      <c r="V23" s="178"/>
      <c r="W23" s="176" t="s">
        <v>2</v>
      </c>
      <c r="X23" s="176" t="s">
        <v>2</v>
      </c>
      <c r="Y23" s="178"/>
      <c r="Z23" s="178" t="s">
        <v>2</v>
      </c>
      <c r="AA23" s="178"/>
      <c r="AB23" s="178"/>
      <c r="AC23" s="178"/>
      <c r="AD23" s="178" t="s">
        <v>190</v>
      </c>
      <c r="AE23" s="178"/>
      <c r="AF23" s="178"/>
      <c r="AG23" s="180"/>
    </row>
    <row r="24" spans="1:33" ht="15" x14ac:dyDescent="0.2">
      <c r="A24" s="174" t="s">
        <v>663</v>
      </c>
      <c r="B24" s="182" t="s">
        <v>180</v>
      </c>
      <c r="C24" s="176"/>
      <c r="D24" s="176"/>
      <c r="E24" s="176" t="s">
        <v>94</v>
      </c>
      <c r="F24" s="176"/>
      <c r="G24" s="176"/>
      <c r="H24" s="183"/>
      <c r="I24" s="178">
        <v>65</v>
      </c>
      <c r="J24" s="178">
        <v>105</v>
      </c>
      <c r="K24" s="178"/>
      <c r="L24" s="178">
        <v>120</v>
      </c>
      <c r="M24" s="178"/>
      <c r="N24" s="178">
        <v>120</v>
      </c>
      <c r="O24" s="178">
        <v>5</v>
      </c>
      <c r="P24" s="178">
        <v>0</v>
      </c>
      <c r="Q24" s="178">
        <v>240</v>
      </c>
      <c r="R24" s="178">
        <v>20</v>
      </c>
      <c r="S24" s="178"/>
      <c r="T24" s="179"/>
      <c r="U24" s="178"/>
      <c r="V24" s="178"/>
      <c r="W24" s="176" t="s">
        <v>2</v>
      </c>
      <c r="X24" s="176" t="s">
        <v>2</v>
      </c>
      <c r="Y24" s="178"/>
      <c r="Z24" s="178" t="s">
        <v>2</v>
      </c>
      <c r="AA24" s="178"/>
      <c r="AB24" s="178"/>
      <c r="AC24" s="178"/>
      <c r="AD24" s="178" t="s">
        <v>190</v>
      </c>
      <c r="AE24" s="178"/>
      <c r="AF24" s="178"/>
      <c r="AG24" s="180"/>
    </row>
    <row r="25" spans="1:33" ht="15" x14ac:dyDescent="0.2">
      <c r="A25" s="174" t="s">
        <v>168</v>
      </c>
      <c r="B25" s="177" t="s">
        <v>180</v>
      </c>
      <c r="C25" s="176"/>
      <c r="D25" s="176" t="s">
        <v>94</v>
      </c>
      <c r="E25" s="176"/>
      <c r="F25" s="176"/>
      <c r="G25" s="176"/>
      <c r="H25" s="184"/>
      <c r="I25" s="178">
        <v>38</v>
      </c>
      <c r="J25" s="178">
        <v>80</v>
      </c>
      <c r="K25" s="178">
        <v>180</v>
      </c>
      <c r="L25" s="178"/>
      <c r="M25" s="178"/>
      <c r="N25" s="178">
        <v>120</v>
      </c>
      <c r="O25" s="178">
        <v>5</v>
      </c>
      <c r="P25" s="178">
        <v>0</v>
      </c>
      <c r="Q25" s="178">
        <v>240</v>
      </c>
      <c r="R25" s="178">
        <v>10</v>
      </c>
      <c r="S25" s="178"/>
      <c r="T25" s="179"/>
      <c r="U25" s="178"/>
      <c r="V25" s="178"/>
      <c r="W25" s="176" t="s">
        <v>2</v>
      </c>
      <c r="X25" s="176" t="s">
        <v>2</v>
      </c>
      <c r="Y25" s="178"/>
      <c r="Z25" s="178" t="s">
        <v>2</v>
      </c>
      <c r="AA25" s="178"/>
      <c r="AB25" s="178"/>
      <c r="AC25" s="178"/>
      <c r="AD25" s="178" t="s">
        <v>190</v>
      </c>
      <c r="AE25" s="178"/>
      <c r="AF25" s="178"/>
      <c r="AG25" s="180"/>
    </row>
    <row r="26" spans="1:33" ht="15" x14ac:dyDescent="0.2">
      <c r="A26" s="174" t="s">
        <v>168</v>
      </c>
      <c r="B26" s="177" t="s">
        <v>180</v>
      </c>
      <c r="C26" s="176"/>
      <c r="D26" s="176"/>
      <c r="E26" s="176" t="s">
        <v>94</v>
      </c>
      <c r="F26" s="176"/>
      <c r="G26" s="176"/>
      <c r="H26" s="184" t="s">
        <v>94</v>
      </c>
      <c r="I26" s="178">
        <v>37</v>
      </c>
      <c r="J26" s="178">
        <v>80</v>
      </c>
      <c r="K26" s="178">
        <v>180</v>
      </c>
      <c r="L26" s="178">
        <v>180</v>
      </c>
      <c r="M26" s="178"/>
      <c r="N26" s="178">
        <v>120</v>
      </c>
      <c r="O26" s="178">
        <v>5</v>
      </c>
      <c r="P26" s="178">
        <v>0</v>
      </c>
      <c r="Q26" s="178">
        <v>240</v>
      </c>
      <c r="R26" s="178">
        <v>10</v>
      </c>
      <c r="S26" s="178"/>
      <c r="T26" s="179"/>
      <c r="U26" s="178"/>
      <c r="V26" s="178"/>
      <c r="W26" s="176" t="s">
        <v>2</v>
      </c>
      <c r="X26" s="176" t="s">
        <v>2</v>
      </c>
      <c r="Y26" s="178"/>
      <c r="Z26" s="178" t="s">
        <v>2</v>
      </c>
      <c r="AA26" s="178"/>
      <c r="AB26" s="178"/>
      <c r="AC26" s="178"/>
      <c r="AD26" s="178" t="s">
        <v>190</v>
      </c>
      <c r="AE26" s="178"/>
      <c r="AF26" s="178"/>
      <c r="AG26" s="180"/>
    </row>
    <row r="27" spans="1:33" ht="15" x14ac:dyDescent="0.2">
      <c r="A27" s="174" t="s">
        <v>156</v>
      </c>
      <c r="B27" s="177" t="s">
        <v>180</v>
      </c>
      <c r="C27" s="176"/>
      <c r="D27" s="176" t="s">
        <v>94</v>
      </c>
      <c r="E27" s="176"/>
      <c r="F27" s="176"/>
      <c r="G27" s="176"/>
      <c r="H27" s="184"/>
      <c r="I27" s="178">
        <v>52</v>
      </c>
      <c r="J27" s="178">
        <v>30</v>
      </c>
      <c r="K27" s="178">
        <v>50</v>
      </c>
      <c r="L27" s="178"/>
      <c r="M27" s="178"/>
      <c r="N27" s="178">
        <v>40</v>
      </c>
      <c r="O27" s="178">
        <v>5</v>
      </c>
      <c r="P27" s="178">
        <v>0</v>
      </c>
      <c r="Q27" s="178">
        <v>240</v>
      </c>
      <c r="R27" s="178">
        <v>30</v>
      </c>
      <c r="S27" s="178"/>
      <c r="T27" s="179"/>
      <c r="U27" s="178"/>
      <c r="V27" s="178"/>
      <c r="W27" s="176" t="s">
        <v>2</v>
      </c>
      <c r="X27" s="178"/>
      <c r="Y27" s="178"/>
      <c r="Z27" s="178" t="s">
        <v>2</v>
      </c>
      <c r="AA27" s="178"/>
      <c r="AB27" s="178"/>
      <c r="AC27" s="178"/>
      <c r="AD27" s="178" t="s">
        <v>190</v>
      </c>
      <c r="AE27" s="178"/>
      <c r="AF27" s="178"/>
      <c r="AG27" s="180"/>
    </row>
    <row r="28" spans="1:33" ht="15" x14ac:dyDescent="0.2">
      <c r="A28" s="174" t="s">
        <v>156</v>
      </c>
      <c r="B28" s="177" t="s">
        <v>180</v>
      </c>
      <c r="C28" s="176"/>
      <c r="D28" s="176"/>
      <c r="E28" s="176" t="s">
        <v>94</v>
      </c>
      <c r="F28" s="176"/>
      <c r="G28" s="176"/>
      <c r="H28" s="184" t="s">
        <v>94</v>
      </c>
      <c r="I28" s="178">
        <v>51</v>
      </c>
      <c r="J28" s="178">
        <v>30</v>
      </c>
      <c r="K28" s="178">
        <v>50</v>
      </c>
      <c r="L28" s="178">
        <v>50</v>
      </c>
      <c r="M28" s="178"/>
      <c r="N28" s="178">
        <v>40</v>
      </c>
      <c r="O28" s="178">
        <v>5</v>
      </c>
      <c r="P28" s="178">
        <v>0</v>
      </c>
      <c r="Q28" s="178">
        <v>240</v>
      </c>
      <c r="R28" s="178">
        <v>30</v>
      </c>
      <c r="S28" s="178"/>
      <c r="T28" s="179"/>
      <c r="U28" s="178"/>
      <c r="V28" s="178"/>
      <c r="W28" s="176" t="s">
        <v>2</v>
      </c>
      <c r="X28" s="178"/>
      <c r="Y28" s="178"/>
      <c r="Z28" s="178" t="s">
        <v>2</v>
      </c>
      <c r="AA28" s="178"/>
      <c r="AB28" s="178"/>
      <c r="AC28" s="178"/>
      <c r="AD28" s="178" t="s">
        <v>190</v>
      </c>
      <c r="AE28" s="178"/>
      <c r="AF28" s="178"/>
      <c r="AG28" s="180"/>
    </row>
    <row r="29" spans="1:33" ht="15" x14ac:dyDescent="0.2">
      <c r="A29" s="174" t="s">
        <v>169</v>
      </c>
      <c r="B29" s="177" t="s">
        <v>180</v>
      </c>
      <c r="C29" s="176"/>
      <c r="D29" s="176"/>
      <c r="E29" s="176" t="s">
        <v>94</v>
      </c>
      <c r="F29" s="176"/>
      <c r="G29" s="176"/>
      <c r="H29" s="184" t="s">
        <v>94</v>
      </c>
      <c r="I29" s="178">
        <v>63</v>
      </c>
      <c r="J29" s="178">
        <v>50</v>
      </c>
      <c r="K29" s="178"/>
      <c r="L29" s="178">
        <v>95</v>
      </c>
      <c r="M29" s="178"/>
      <c r="N29" s="178">
        <v>60</v>
      </c>
      <c r="O29" s="178">
        <v>5</v>
      </c>
      <c r="P29" s="178">
        <v>0</v>
      </c>
      <c r="Q29" s="178">
        <v>240</v>
      </c>
      <c r="R29" s="178">
        <v>60</v>
      </c>
      <c r="S29" s="178"/>
      <c r="T29" s="179"/>
      <c r="U29" s="178"/>
      <c r="V29" s="178"/>
      <c r="W29" s="176" t="s">
        <v>2</v>
      </c>
      <c r="X29" s="176" t="s">
        <v>2</v>
      </c>
      <c r="Y29" s="178"/>
      <c r="Z29" s="178" t="s">
        <v>2</v>
      </c>
      <c r="AA29" s="178"/>
      <c r="AB29" s="178"/>
      <c r="AC29" s="178"/>
      <c r="AD29" s="178" t="s">
        <v>190</v>
      </c>
      <c r="AE29" s="178"/>
      <c r="AF29" s="178"/>
      <c r="AG29" s="180"/>
    </row>
    <row r="30" spans="1:33" ht="15" x14ac:dyDescent="0.2">
      <c r="A30" s="174" t="s">
        <v>175</v>
      </c>
      <c r="B30" s="177" t="s">
        <v>180</v>
      </c>
      <c r="C30" s="176"/>
      <c r="D30" s="176"/>
      <c r="E30" s="176" t="s">
        <v>94</v>
      </c>
      <c r="F30" s="176"/>
      <c r="G30" s="176"/>
      <c r="H30" s="184" t="s">
        <v>94</v>
      </c>
      <c r="I30" s="178">
        <v>53</v>
      </c>
      <c r="J30" s="178">
        <v>30</v>
      </c>
      <c r="K30" s="178"/>
      <c r="L30" s="178">
        <v>60</v>
      </c>
      <c r="M30" s="178"/>
      <c r="N30" s="178">
        <v>30</v>
      </c>
      <c r="O30" s="178">
        <v>5</v>
      </c>
      <c r="P30" s="178">
        <v>0</v>
      </c>
      <c r="Q30" s="178">
        <v>240</v>
      </c>
      <c r="R30" s="178">
        <v>30</v>
      </c>
      <c r="S30" s="178"/>
      <c r="T30" s="179"/>
      <c r="U30" s="178"/>
      <c r="V30" s="178"/>
      <c r="W30" s="176" t="s">
        <v>2</v>
      </c>
      <c r="X30" s="178"/>
      <c r="Y30" s="178"/>
      <c r="Z30" s="178" t="s">
        <v>2</v>
      </c>
      <c r="AA30" s="178"/>
      <c r="AB30" s="178"/>
      <c r="AC30" s="178"/>
      <c r="AD30" s="185" t="s">
        <v>190</v>
      </c>
      <c r="AE30" s="178"/>
      <c r="AF30" s="178"/>
      <c r="AG30" s="180"/>
    </row>
    <row r="31" spans="1:33" ht="14.25" x14ac:dyDescent="0.2">
      <c r="A31" s="174" t="s">
        <v>172</v>
      </c>
      <c r="B31" s="182" t="s">
        <v>180</v>
      </c>
      <c r="C31" s="176"/>
      <c r="D31" s="176"/>
      <c r="E31" s="176"/>
      <c r="F31" s="176" t="s">
        <v>94</v>
      </c>
      <c r="G31" s="176" t="s">
        <v>94</v>
      </c>
      <c r="H31" s="182"/>
      <c r="I31" s="178">
        <v>64</v>
      </c>
      <c r="J31" s="178">
        <v>90</v>
      </c>
      <c r="K31" s="186">
        <v>1000</v>
      </c>
      <c r="L31" s="178">
        <v>1000</v>
      </c>
      <c r="M31" s="178">
        <v>800</v>
      </c>
      <c r="N31" s="178">
        <v>600</v>
      </c>
      <c r="O31" s="178">
        <v>30</v>
      </c>
      <c r="P31" s="178">
        <v>0</v>
      </c>
      <c r="Q31" s="178">
        <v>120</v>
      </c>
      <c r="R31" s="178">
        <v>1</v>
      </c>
      <c r="S31" s="178"/>
      <c r="T31" s="179"/>
      <c r="U31" s="178"/>
      <c r="V31" s="178"/>
      <c r="W31" s="176" t="s">
        <v>2</v>
      </c>
      <c r="X31" s="176" t="s">
        <v>2</v>
      </c>
      <c r="Y31" s="178"/>
      <c r="Z31" s="178"/>
      <c r="AA31" s="178"/>
      <c r="AB31" s="178"/>
      <c r="AC31" s="178"/>
      <c r="AD31" s="185" t="s">
        <v>173</v>
      </c>
      <c r="AE31" s="178"/>
      <c r="AF31" s="178"/>
      <c r="AG31" s="180"/>
    </row>
    <row r="32" spans="1:33" ht="14.25" x14ac:dyDescent="0.2">
      <c r="A32" s="174" t="s">
        <v>11</v>
      </c>
      <c r="B32" s="182" t="s">
        <v>184</v>
      </c>
      <c r="C32" s="176" t="s">
        <v>260</v>
      </c>
      <c r="D32" s="176" t="s">
        <v>260</v>
      </c>
      <c r="E32" s="176"/>
      <c r="F32" s="176" t="s">
        <v>260</v>
      </c>
      <c r="G32" s="187"/>
      <c r="H32" s="187"/>
      <c r="I32" s="178">
        <v>9</v>
      </c>
      <c r="J32" s="179">
        <v>1</v>
      </c>
      <c r="K32" s="179">
        <v>1</v>
      </c>
      <c r="L32" s="179">
        <v>1</v>
      </c>
      <c r="M32" s="179">
        <v>1</v>
      </c>
      <c r="N32" s="179">
        <v>1</v>
      </c>
      <c r="O32" s="179">
        <v>1</v>
      </c>
      <c r="P32" s="178">
        <v>90</v>
      </c>
      <c r="Q32" s="178">
        <v>180</v>
      </c>
      <c r="R32" s="178">
        <v>120</v>
      </c>
      <c r="S32" s="178"/>
      <c r="T32" s="179"/>
      <c r="U32" s="178"/>
      <c r="V32" s="178"/>
      <c r="W32" s="178"/>
      <c r="X32" s="178"/>
      <c r="Y32" s="178"/>
      <c r="Z32" s="178"/>
      <c r="AA32" s="178"/>
      <c r="AB32" s="178"/>
      <c r="AC32" s="178"/>
      <c r="AD32" s="178" t="s">
        <v>25</v>
      </c>
      <c r="AE32" s="178"/>
      <c r="AF32" s="178" t="s">
        <v>3</v>
      </c>
      <c r="AG32" s="180"/>
    </row>
    <row r="33" spans="1:33" ht="14.25" x14ac:dyDescent="0.2">
      <c r="A33" s="174" t="s">
        <v>12</v>
      </c>
      <c r="B33" s="188" t="s">
        <v>184</v>
      </c>
      <c r="C33" s="176" t="s">
        <v>260</v>
      </c>
      <c r="D33" s="176" t="s">
        <v>260</v>
      </c>
      <c r="E33" s="176" t="s">
        <v>260</v>
      </c>
      <c r="F33" s="176" t="s">
        <v>260</v>
      </c>
      <c r="G33" s="187"/>
      <c r="H33" s="187"/>
      <c r="I33" s="178">
        <v>19</v>
      </c>
      <c r="J33" s="178">
        <v>1</v>
      </c>
      <c r="K33" s="178">
        <v>1</v>
      </c>
      <c r="L33" s="178">
        <v>1</v>
      </c>
      <c r="M33" s="178">
        <v>1</v>
      </c>
      <c r="N33" s="178">
        <v>1</v>
      </c>
      <c r="O33" s="178">
        <v>1</v>
      </c>
      <c r="P33" s="178">
        <v>60</v>
      </c>
      <c r="Q33" s="178">
        <v>60</v>
      </c>
      <c r="R33" s="178">
        <v>60</v>
      </c>
      <c r="S33" s="178"/>
      <c r="T33" s="179"/>
      <c r="U33" s="178"/>
      <c r="V33" s="178"/>
      <c r="W33" s="178"/>
      <c r="X33" s="178"/>
      <c r="Y33" s="178"/>
      <c r="Z33" s="178"/>
      <c r="AA33" s="178"/>
      <c r="AB33" s="178"/>
      <c r="AC33" s="178"/>
      <c r="AD33" s="178" t="s">
        <v>25</v>
      </c>
      <c r="AE33" s="178"/>
      <c r="AF33" s="178"/>
      <c r="AG33" s="180"/>
    </row>
    <row r="34" spans="1:33" ht="14.25" x14ac:dyDescent="0.2">
      <c r="A34" s="174" t="s">
        <v>334</v>
      </c>
      <c r="B34" s="188" t="s">
        <v>184</v>
      </c>
      <c r="C34" s="176"/>
      <c r="D34" s="176" t="s">
        <v>94</v>
      </c>
      <c r="E34" s="176" t="s">
        <v>94</v>
      </c>
      <c r="F34" s="176" t="s">
        <v>94</v>
      </c>
      <c r="G34" s="176" t="s">
        <v>94</v>
      </c>
      <c r="H34" s="187"/>
      <c r="I34" s="178">
        <v>57</v>
      </c>
      <c r="J34" s="178">
        <v>1</v>
      </c>
      <c r="K34" s="178">
        <v>1</v>
      </c>
      <c r="L34" s="178">
        <v>1</v>
      </c>
      <c r="M34" s="178"/>
      <c r="N34" s="178">
        <v>1</v>
      </c>
      <c r="O34" s="178">
        <v>1</v>
      </c>
      <c r="P34" s="178">
        <v>10</v>
      </c>
      <c r="Q34" s="178">
        <v>10</v>
      </c>
      <c r="R34" s="178">
        <v>10</v>
      </c>
      <c r="S34" s="178"/>
      <c r="T34" s="179"/>
      <c r="U34" s="178"/>
      <c r="V34" s="178"/>
      <c r="W34" s="178"/>
      <c r="X34" s="178"/>
      <c r="Y34" s="178"/>
      <c r="Z34" s="178"/>
      <c r="AA34" s="178"/>
      <c r="AB34" s="178"/>
      <c r="AC34" s="178"/>
      <c r="AD34" s="178" t="s">
        <v>25</v>
      </c>
      <c r="AE34" s="178"/>
      <c r="AF34" s="178"/>
      <c r="AG34" s="180"/>
    </row>
    <row r="35" spans="1:33" ht="14.25" x14ac:dyDescent="0.2">
      <c r="A35" s="174" t="s">
        <v>320</v>
      </c>
      <c r="B35" s="188" t="s">
        <v>184</v>
      </c>
      <c r="C35" s="176"/>
      <c r="D35" s="176" t="s">
        <v>94</v>
      </c>
      <c r="E35" s="176" t="s">
        <v>94</v>
      </c>
      <c r="F35" s="176" t="s">
        <v>260</v>
      </c>
      <c r="G35" s="187"/>
      <c r="H35" s="189" t="s">
        <v>94</v>
      </c>
      <c r="I35" s="178">
        <v>39</v>
      </c>
      <c r="J35" s="178">
        <v>1</v>
      </c>
      <c r="K35" s="178">
        <v>1</v>
      </c>
      <c r="L35" s="178">
        <v>1</v>
      </c>
      <c r="M35" s="178"/>
      <c r="N35" s="178">
        <v>1</v>
      </c>
      <c r="O35" s="178">
        <v>1</v>
      </c>
      <c r="P35" s="178">
        <v>65</v>
      </c>
      <c r="Q35" s="178">
        <v>65</v>
      </c>
      <c r="R35" s="178">
        <v>65</v>
      </c>
      <c r="S35" s="178"/>
      <c r="T35" s="179"/>
      <c r="U35" s="178"/>
      <c r="V35" s="178"/>
      <c r="W35" s="178"/>
      <c r="X35" s="178"/>
      <c r="Y35" s="178"/>
      <c r="Z35" s="178" t="s">
        <v>2</v>
      </c>
      <c r="AA35" s="178"/>
      <c r="AB35" s="178"/>
      <c r="AC35" s="178"/>
      <c r="AD35" s="178" t="s">
        <v>25</v>
      </c>
      <c r="AE35" s="178"/>
      <c r="AF35" s="178"/>
      <c r="AG35" s="180"/>
    </row>
    <row r="36" spans="1:33" ht="14.25" x14ac:dyDescent="0.2">
      <c r="A36" s="190" t="s">
        <v>321</v>
      </c>
      <c r="B36" s="191" t="s">
        <v>184</v>
      </c>
      <c r="C36" s="192"/>
      <c r="D36" s="192" t="s">
        <v>94</v>
      </c>
      <c r="E36" s="192" t="s">
        <v>94</v>
      </c>
      <c r="F36" s="192" t="s">
        <v>260</v>
      </c>
      <c r="G36" s="193"/>
      <c r="H36" s="194" t="s">
        <v>94</v>
      </c>
      <c r="I36" s="195">
        <v>40</v>
      </c>
      <c r="J36" s="195">
        <v>1</v>
      </c>
      <c r="K36" s="195">
        <v>1</v>
      </c>
      <c r="L36" s="195">
        <v>1</v>
      </c>
      <c r="M36" s="195"/>
      <c r="N36" s="195">
        <v>1</v>
      </c>
      <c r="O36" s="195">
        <v>1</v>
      </c>
      <c r="P36" s="195">
        <v>8</v>
      </c>
      <c r="Q36" s="195">
        <v>8</v>
      </c>
      <c r="R36" s="195">
        <v>8</v>
      </c>
      <c r="S36" s="195"/>
      <c r="T36" s="196"/>
      <c r="U36" s="195"/>
      <c r="V36" s="195"/>
      <c r="W36" s="195"/>
      <c r="X36" s="195"/>
      <c r="Y36" s="195"/>
      <c r="Z36" s="195" t="s">
        <v>2</v>
      </c>
      <c r="AA36" s="195"/>
      <c r="AB36" s="195"/>
      <c r="AC36" s="195"/>
      <c r="AD36" s="195" t="s">
        <v>25</v>
      </c>
      <c r="AE36" s="195"/>
      <c r="AF36" s="195"/>
      <c r="AG36" s="197"/>
    </row>
    <row r="37" spans="1:33" ht="14.25" x14ac:dyDescent="0.2">
      <c r="A37" s="163"/>
      <c r="B37" s="164"/>
      <c r="C37" s="165"/>
      <c r="D37" s="165"/>
      <c r="E37" s="165"/>
      <c r="F37" s="165"/>
      <c r="G37" s="163"/>
      <c r="H37" s="163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7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</row>
    <row r="40" spans="1:33" x14ac:dyDescent="0.2">
      <c r="B40" t="s">
        <v>270</v>
      </c>
      <c r="C40" s="155" t="s">
        <v>45</v>
      </c>
    </row>
    <row r="41" spans="1:33" x14ac:dyDescent="0.2">
      <c r="B41" t="s">
        <v>177</v>
      </c>
      <c r="C41" s="155" t="s">
        <v>323</v>
      </c>
    </row>
    <row r="42" spans="1:33" x14ac:dyDescent="0.2">
      <c r="B42" t="s">
        <v>176</v>
      </c>
      <c r="C42" s="155" t="s">
        <v>322</v>
      </c>
    </row>
    <row r="43" spans="1:33" x14ac:dyDescent="0.2">
      <c r="B43" t="s">
        <v>178</v>
      </c>
      <c r="C43" s="155" t="s">
        <v>324</v>
      </c>
    </row>
    <row r="44" spans="1:33" x14ac:dyDescent="0.2">
      <c r="B44" t="s">
        <v>325</v>
      </c>
      <c r="C44" s="155" t="s">
        <v>326</v>
      </c>
    </row>
    <row r="45" spans="1:33" x14ac:dyDescent="0.2">
      <c r="B45" t="s">
        <v>185</v>
      </c>
      <c r="C45" s="155" t="s">
        <v>327</v>
      </c>
    </row>
  </sheetData>
  <autoFilter ref="B1:H33"/>
  <conditionalFormatting sqref="A1:B1 J13 H1 V2 M11:O11 M7:O7 M5:R6 S4:S6 S12:S21 M12:R19 M8:S10 Y2:Z2 I14:J19 I4:R4 I3:S3 I20:R21 L5:L11 K5:K19 I5:J12 I22:S23 U2:U23 AG3:AG23 T3:T23 I27:Z27 I37:Z37 I29:Z34 AB2:AC23 AE2:AF23 V3:AA23 AD3:AD23 AA26:AG37 I25:AG25">
    <cfRule type="expression" dxfId="270" priority="31" stopIfTrue="1">
      <formula>MOD(ROW(#REF!),2)=0</formula>
    </cfRule>
  </conditionalFormatting>
  <conditionalFormatting sqref="I2:J2 T2 W2 M2:R2">
    <cfRule type="expression" dxfId="269" priority="30" stopIfTrue="1">
      <formula>MOD(ROW(#REF!),2)=0</formula>
    </cfRule>
  </conditionalFormatting>
  <conditionalFormatting sqref="AG2">
    <cfRule type="expression" dxfId="268" priority="28" stopIfTrue="1">
      <formula>MOD(ROW(#REF!),2)=0</formula>
    </cfRule>
  </conditionalFormatting>
  <conditionalFormatting sqref="AD2">
    <cfRule type="expression" dxfId="267" priority="25" stopIfTrue="1">
      <formula>MOD(ROW(#REF!),2)=0</formula>
    </cfRule>
  </conditionalFormatting>
  <conditionalFormatting sqref="AA2">
    <cfRule type="expression" dxfId="266" priority="23" stopIfTrue="1">
      <formula>MOD(ROW(#REF!),2)=0</formula>
    </cfRule>
  </conditionalFormatting>
  <conditionalFormatting sqref="X2">
    <cfRule type="expression" dxfId="265" priority="21" stopIfTrue="1">
      <formula>MOD(ROW(#REF!),2)=0</formula>
    </cfRule>
  </conditionalFormatting>
  <conditionalFormatting sqref="S2">
    <cfRule type="expression" dxfId="264" priority="20" stopIfTrue="1">
      <formula>MOD(ROW(#REF!),2)=0</formula>
    </cfRule>
  </conditionalFormatting>
  <conditionalFormatting sqref="K2">
    <cfRule type="expression" dxfId="263" priority="19" stopIfTrue="1">
      <formula>MOD(ROW(#REF!),2)=0</formula>
    </cfRule>
  </conditionalFormatting>
  <conditionalFormatting sqref="L14:L19">
    <cfRule type="expression" dxfId="262" priority="17" stopIfTrue="1">
      <formula>MOD(ROW(#REF!),2)=0</formula>
    </cfRule>
  </conditionalFormatting>
  <conditionalFormatting sqref="L2">
    <cfRule type="expression" dxfId="261" priority="16" stopIfTrue="1">
      <formula>MOD(ROW(#REF!),2)=0</formula>
    </cfRule>
  </conditionalFormatting>
  <conditionalFormatting sqref="L12:L13">
    <cfRule type="expression" dxfId="260" priority="14" stopIfTrue="1">
      <formula>MOD(ROW(#REF!),2)=0</formula>
    </cfRule>
  </conditionalFormatting>
  <conditionalFormatting sqref="F1">
    <cfRule type="expression" dxfId="259" priority="13" stopIfTrue="1">
      <formula>MOD(ROW(#REF!),2)=0</formula>
    </cfRule>
  </conditionalFormatting>
  <conditionalFormatting sqref="D1">
    <cfRule type="expression" dxfId="258" priority="12" stopIfTrue="1">
      <formula>MOD(ROW(#REF!),2)=0</formula>
    </cfRule>
  </conditionalFormatting>
  <conditionalFormatting sqref="C1 E1">
    <cfRule type="expression" dxfId="257" priority="11" stopIfTrue="1">
      <formula>MOD(ROW(#REF!),2)=0</formula>
    </cfRule>
  </conditionalFormatting>
  <conditionalFormatting sqref="G1">
    <cfRule type="expression" dxfId="256" priority="10" stopIfTrue="1">
      <formula>MOD(ROW(#REF!),2)=0</formula>
    </cfRule>
  </conditionalFormatting>
  <conditionalFormatting sqref="P11:S11">
    <cfRule type="expression" dxfId="255" priority="9" stopIfTrue="1">
      <formula>MOD(ROW(#REF!),2)=0</formula>
    </cfRule>
  </conditionalFormatting>
  <conditionalFormatting sqref="P7:S7">
    <cfRule type="expression" dxfId="254" priority="8" stopIfTrue="1">
      <formula>MOD(ROW(#REF!),2)=0</formula>
    </cfRule>
  </conditionalFormatting>
  <conditionalFormatting sqref="I26:Z26">
    <cfRule type="expression" dxfId="253" priority="7" stopIfTrue="1">
      <formula>MOD(ROW(#REF!),2)=0</formula>
    </cfRule>
  </conditionalFormatting>
  <conditionalFormatting sqref="I28:Z28">
    <cfRule type="expression" dxfId="252" priority="6" stopIfTrue="1">
      <formula>MOD(ROW(#REF!),2)=0</formula>
    </cfRule>
  </conditionalFormatting>
  <conditionalFormatting sqref="I35:Z35">
    <cfRule type="expression" dxfId="251" priority="5" stopIfTrue="1">
      <formula>MOD(ROW(#REF!),2)=0</formula>
    </cfRule>
  </conditionalFormatting>
  <conditionalFormatting sqref="I36:Z36">
    <cfRule type="expression" dxfId="250" priority="4" stopIfTrue="1">
      <formula>MOD(ROW(#REF!),2)=0</formula>
    </cfRule>
  </conditionalFormatting>
  <conditionalFormatting sqref="I24:AG24">
    <cfRule type="expression" dxfId="249" priority="1" stopIfTrue="1">
      <formula>MOD(ROW(#REF!),2)=0</formula>
    </cfRule>
  </conditionalFormatting>
  <pageMargins left="0.7" right="0.7" top="0.78740157499999996" bottom="0.78740157499999996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9"/>
  <sheetViews>
    <sheetView workbookViewId="0">
      <pane ySplit="2" topLeftCell="A3" activePane="bottomLeft" state="frozen"/>
      <selection pane="bottomLeft" activeCell="B23" sqref="B23"/>
    </sheetView>
  </sheetViews>
  <sheetFormatPr baseColWidth="10" defaultRowHeight="15" x14ac:dyDescent="0.25"/>
  <cols>
    <col min="1" max="1" width="36.7109375" style="12" customWidth="1"/>
    <col min="2" max="2" width="50" style="75" customWidth="1"/>
    <col min="3" max="3" width="34.5703125" style="73" customWidth="1"/>
    <col min="4" max="4" width="21.5703125" style="72" customWidth="1"/>
    <col min="5" max="5" width="40" style="12" customWidth="1"/>
    <col min="6" max="16384" width="11.42578125" style="12"/>
  </cols>
  <sheetData>
    <row r="1" spans="1:5" ht="18.75" thickBot="1" x14ac:dyDescent="0.3">
      <c r="A1" s="78" t="s">
        <v>70</v>
      </c>
      <c r="B1" s="79" t="s">
        <v>67</v>
      </c>
      <c r="C1" s="80" t="s">
        <v>47</v>
      </c>
      <c r="D1" s="81" t="s">
        <v>71</v>
      </c>
      <c r="E1" s="81" t="s">
        <v>46</v>
      </c>
    </row>
    <row r="2" spans="1:5" ht="15.75" thickTop="1" x14ac:dyDescent="0.25">
      <c r="A2" s="99" t="s">
        <v>0</v>
      </c>
      <c r="B2" s="94" t="s">
        <v>69</v>
      </c>
      <c r="C2" s="90" t="s">
        <v>48</v>
      </c>
      <c r="D2" s="91" t="s">
        <v>140</v>
      </c>
      <c r="E2" s="91"/>
    </row>
    <row r="3" spans="1:5" ht="25.5" x14ac:dyDescent="0.25">
      <c r="A3" s="100" t="s">
        <v>138</v>
      </c>
      <c r="B3" s="95" t="s">
        <v>68</v>
      </c>
      <c r="C3" s="92" t="s">
        <v>48</v>
      </c>
      <c r="D3" s="93" t="s">
        <v>140</v>
      </c>
      <c r="E3" s="93"/>
    </row>
    <row r="4" spans="1:5" ht="51" x14ac:dyDescent="0.25">
      <c r="A4" s="100" t="s">
        <v>98</v>
      </c>
      <c r="B4" s="96" t="s">
        <v>49</v>
      </c>
      <c r="C4" s="76" t="s">
        <v>50</v>
      </c>
      <c r="D4" s="93" t="s">
        <v>140</v>
      </c>
      <c r="E4" s="162" t="s">
        <v>314</v>
      </c>
    </row>
    <row r="5" spans="1:5" ht="51" x14ac:dyDescent="0.25">
      <c r="A5" s="100" t="s">
        <v>99</v>
      </c>
      <c r="B5" s="96" t="s">
        <v>51</v>
      </c>
      <c r="C5" s="76" t="s">
        <v>50</v>
      </c>
      <c r="D5" s="93" t="s">
        <v>140</v>
      </c>
      <c r="E5" s="162" t="s">
        <v>314</v>
      </c>
    </row>
    <row r="6" spans="1:5" ht="51" x14ac:dyDescent="0.25">
      <c r="A6" s="100" t="s">
        <v>313</v>
      </c>
      <c r="B6" s="96" t="s">
        <v>51</v>
      </c>
      <c r="C6" s="76" t="s">
        <v>50</v>
      </c>
      <c r="D6" s="93" t="s">
        <v>140</v>
      </c>
      <c r="E6" s="162" t="s">
        <v>314</v>
      </c>
    </row>
    <row r="7" spans="1:5" ht="25.5" x14ac:dyDescent="0.25">
      <c r="A7" s="100" t="s">
        <v>136</v>
      </c>
      <c r="B7" s="96" t="s">
        <v>315</v>
      </c>
      <c r="C7" s="76" t="s">
        <v>50</v>
      </c>
      <c r="D7" s="93" t="s">
        <v>140</v>
      </c>
      <c r="E7" s="162" t="s">
        <v>314</v>
      </c>
    </row>
    <row r="8" spans="1:5" ht="25.5" x14ac:dyDescent="0.25">
      <c r="A8" s="100" t="s">
        <v>101</v>
      </c>
      <c r="B8" s="96" t="s">
        <v>56</v>
      </c>
      <c r="C8" s="76" t="s">
        <v>55</v>
      </c>
      <c r="D8" s="93" t="s">
        <v>140</v>
      </c>
      <c r="E8" s="93"/>
    </row>
    <row r="9" spans="1:5" ht="38.25" x14ac:dyDescent="0.25">
      <c r="A9" s="100" t="s">
        <v>109</v>
      </c>
      <c r="B9" s="96" t="s">
        <v>79</v>
      </c>
      <c r="C9" s="76" t="s">
        <v>55</v>
      </c>
      <c r="D9" s="93" t="s">
        <v>140</v>
      </c>
      <c r="E9" s="93"/>
    </row>
    <row r="10" spans="1:5" ht="25.5" x14ac:dyDescent="0.25">
      <c r="A10" s="100" t="s">
        <v>137</v>
      </c>
      <c r="B10" s="96" t="s">
        <v>54</v>
      </c>
      <c r="C10" s="76" t="s">
        <v>55</v>
      </c>
      <c r="D10" s="93" t="s">
        <v>140</v>
      </c>
      <c r="E10" s="93"/>
    </row>
    <row r="11" spans="1:5" ht="25.5" x14ac:dyDescent="0.25">
      <c r="A11" s="100" t="s">
        <v>110</v>
      </c>
      <c r="B11" s="97" t="s">
        <v>72</v>
      </c>
      <c r="C11" s="76" t="s">
        <v>52</v>
      </c>
      <c r="D11" s="82">
        <v>2</v>
      </c>
      <c r="E11" s="82"/>
    </row>
    <row r="12" spans="1:5" x14ac:dyDescent="0.25">
      <c r="A12" s="100" t="s">
        <v>133</v>
      </c>
      <c r="B12" s="97" t="s">
        <v>73</v>
      </c>
      <c r="C12" s="76" t="s">
        <v>53</v>
      </c>
      <c r="D12" s="82">
        <v>2</v>
      </c>
      <c r="E12" s="82"/>
    </row>
    <row r="13" spans="1:5" x14ac:dyDescent="0.25">
      <c r="A13" s="100" t="s">
        <v>111</v>
      </c>
      <c r="B13" s="97" t="s">
        <v>63</v>
      </c>
      <c r="C13" s="76" t="s">
        <v>66</v>
      </c>
      <c r="D13" s="82">
        <v>2</v>
      </c>
      <c r="E13" s="82"/>
    </row>
    <row r="14" spans="1:5" ht="38.25" x14ac:dyDescent="0.25">
      <c r="A14" s="100" t="s">
        <v>134</v>
      </c>
      <c r="B14" s="97" t="s">
        <v>187</v>
      </c>
      <c r="C14" s="76" t="s">
        <v>64</v>
      </c>
      <c r="D14" s="82">
        <v>3</v>
      </c>
      <c r="E14" s="82"/>
    </row>
    <row r="15" spans="1:5" ht="25.5" x14ac:dyDescent="0.25">
      <c r="A15" s="100" t="s">
        <v>102</v>
      </c>
      <c r="B15" s="97" t="s">
        <v>188</v>
      </c>
      <c r="C15" s="76" t="s">
        <v>64</v>
      </c>
      <c r="D15" s="82">
        <v>3</v>
      </c>
      <c r="E15" s="82"/>
    </row>
    <row r="16" spans="1:5" ht="25.5" x14ac:dyDescent="0.25">
      <c r="A16" s="100" t="s">
        <v>112</v>
      </c>
      <c r="B16" s="96" t="s">
        <v>59</v>
      </c>
      <c r="C16" s="76" t="s">
        <v>60</v>
      </c>
      <c r="D16" s="82">
        <v>2</v>
      </c>
      <c r="E16" s="82"/>
    </row>
    <row r="17" spans="1:5" x14ac:dyDescent="0.25">
      <c r="A17" s="100" t="s">
        <v>103</v>
      </c>
      <c r="B17" s="97" t="s">
        <v>81</v>
      </c>
      <c r="C17" s="76" t="s">
        <v>65</v>
      </c>
      <c r="D17" s="82">
        <v>4</v>
      </c>
      <c r="E17" s="82"/>
    </row>
    <row r="18" spans="1:5" ht="38.25" x14ac:dyDescent="0.25">
      <c r="A18" s="100" t="s">
        <v>135</v>
      </c>
      <c r="B18" s="97" t="s">
        <v>80</v>
      </c>
      <c r="C18" s="76" t="s">
        <v>65</v>
      </c>
      <c r="D18" s="82">
        <v>4</v>
      </c>
      <c r="E18" s="82"/>
    </row>
    <row r="19" spans="1:5" ht="25.5" x14ac:dyDescent="0.25">
      <c r="A19" s="100" t="s">
        <v>104</v>
      </c>
      <c r="B19" s="97" t="s">
        <v>62</v>
      </c>
      <c r="C19" s="76" t="s">
        <v>78</v>
      </c>
      <c r="D19" s="82">
        <v>2</v>
      </c>
      <c r="E19" s="82"/>
    </row>
    <row r="20" spans="1:5" ht="25.5" x14ac:dyDescent="0.25">
      <c r="A20" s="100" t="s">
        <v>105</v>
      </c>
      <c r="B20" s="96" t="s">
        <v>57</v>
      </c>
      <c r="C20" s="76" t="s">
        <v>58</v>
      </c>
      <c r="D20" s="82">
        <v>5</v>
      </c>
      <c r="E20" s="82"/>
    </row>
    <row r="21" spans="1:5" ht="25.5" x14ac:dyDescent="0.25">
      <c r="A21" s="100" t="s">
        <v>106</v>
      </c>
      <c r="B21" s="96" t="s">
        <v>61</v>
      </c>
      <c r="C21" s="76" t="s">
        <v>74</v>
      </c>
      <c r="D21" s="82">
        <v>3</v>
      </c>
      <c r="E21" s="82"/>
    </row>
    <row r="22" spans="1:5" ht="25.5" x14ac:dyDescent="0.25">
      <c r="A22" s="100" t="s">
        <v>107</v>
      </c>
      <c r="B22" s="97" t="s">
        <v>75</v>
      </c>
      <c r="C22" s="76" t="s">
        <v>76</v>
      </c>
      <c r="D22" s="82">
        <v>5</v>
      </c>
      <c r="E22" s="82"/>
    </row>
    <row r="23" spans="1:5" ht="51" x14ac:dyDescent="0.25">
      <c r="A23" s="101" t="s">
        <v>108</v>
      </c>
      <c r="B23" s="98" t="s">
        <v>337</v>
      </c>
      <c r="C23" s="77" t="s">
        <v>77</v>
      </c>
      <c r="D23" s="83">
        <v>5</v>
      </c>
      <c r="E23" s="83"/>
    </row>
    <row r="24" spans="1:5" ht="51" x14ac:dyDescent="0.25">
      <c r="A24" s="101" t="s">
        <v>148</v>
      </c>
      <c r="B24" s="98" t="s">
        <v>150</v>
      </c>
      <c r="C24" s="77" t="s">
        <v>48</v>
      </c>
      <c r="D24" s="83">
        <v>2</v>
      </c>
      <c r="E24" s="83"/>
    </row>
    <row r="25" spans="1:5" ht="38.25" x14ac:dyDescent="0.25">
      <c r="A25" s="101" t="s">
        <v>310</v>
      </c>
      <c r="B25" s="98" t="s">
        <v>318</v>
      </c>
      <c r="C25" s="77" t="s">
        <v>316</v>
      </c>
      <c r="D25" s="83">
        <v>2</v>
      </c>
      <c r="E25" s="83"/>
    </row>
    <row r="26" spans="1:5" ht="38.25" x14ac:dyDescent="0.25">
      <c r="A26" s="101" t="s">
        <v>311</v>
      </c>
      <c r="B26" s="98" t="s">
        <v>319</v>
      </c>
      <c r="C26" s="77" t="s">
        <v>317</v>
      </c>
      <c r="D26" s="83">
        <v>2</v>
      </c>
      <c r="E26" s="83"/>
    </row>
    <row r="27" spans="1:5" x14ac:dyDescent="0.25">
      <c r="C27" s="71"/>
    </row>
    <row r="28" spans="1:5" x14ac:dyDescent="0.25">
      <c r="C28" s="71"/>
    </row>
    <row r="29" spans="1:5" x14ac:dyDescent="0.25">
      <c r="C29" s="71"/>
    </row>
    <row r="30" spans="1:5" x14ac:dyDescent="0.25">
      <c r="C30" s="71"/>
    </row>
    <row r="31" spans="1:5" x14ac:dyDescent="0.25">
      <c r="C31" s="71"/>
    </row>
    <row r="32" spans="1:5" x14ac:dyDescent="0.25">
      <c r="C32" s="71"/>
    </row>
    <row r="35" spans="3:3" x14ac:dyDescent="0.25">
      <c r="C35" s="71"/>
    </row>
    <row r="36" spans="3:3" x14ac:dyDescent="0.25">
      <c r="C36" s="71"/>
    </row>
    <row r="37" spans="3:3" x14ac:dyDescent="0.25">
      <c r="C37" s="71"/>
    </row>
    <row r="38" spans="3:3" x14ac:dyDescent="0.25">
      <c r="C38" s="71"/>
    </row>
    <row r="39" spans="3:3" x14ac:dyDescent="0.25">
      <c r="C39" s="71"/>
    </row>
    <row r="40" spans="3:3" x14ac:dyDescent="0.25">
      <c r="C40" s="71"/>
    </row>
    <row r="41" spans="3:3" x14ac:dyDescent="0.25">
      <c r="C41" s="71"/>
    </row>
    <row r="42" spans="3:3" x14ac:dyDescent="0.25">
      <c r="C42" s="71"/>
    </row>
    <row r="43" spans="3:3" x14ac:dyDescent="0.25">
      <c r="C43" s="71"/>
    </row>
    <row r="44" spans="3:3" x14ac:dyDescent="0.25">
      <c r="C44" s="71"/>
    </row>
    <row r="45" spans="3:3" x14ac:dyDescent="0.25">
      <c r="C45" s="71"/>
    </row>
    <row r="46" spans="3:3" x14ac:dyDescent="0.25">
      <c r="C46" s="71"/>
    </row>
    <row r="47" spans="3:3" x14ac:dyDescent="0.25">
      <c r="C47" s="71"/>
    </row>
    <row r="48" spans="3:3" x14ac:dyDescent="0.25">
      <c r="C48" s="71"/>
    </row>
    <row r="49" spans="3:3" x14ac:dyDescent="0.25">
      <c r="C49" s="71"/>
    </row>
    <row r="50" spans="3:3" x14ac:dyDescent="0.25">
      <c r="C50" s="71"/>
    </row>
    <row r="51" spans="3:3" x14ac:dyDescent="0.25">
      <c r="C51" s="71"/>
    </row>
    <row r="52" spans="3:3" x14ac:dyDescent="0.25">
      <c r="C52" s="74"/>
    </row>
    <row r="53" spans="3:3" x14ac:dyDescent="0.25">
      <c r="C53" s="71"/>
    </row>
    <row r="54" spans="3:3" x14ac:dyDescent="0.25">
      <c r="C54" s="71"/>
    </row>
    <row r="55" spans="3:3" x14ac:dyDescent="0.25">
      <c r="C55" s="71"/>
    </row>
    <row r="56" spans="3:3" x14ac:dyDescent="0.25">
      <c r="C56" s="71"/>
    </row>
    <row r="57" spans="3:3" x14ac:dyDescent="0.25">
      <c r="C57" s="71"/>
    </row>
    <row r="58" spans="3:3" x14ac:dyDescent="0.25">
      <c r="C58" s="71"/>
    </row>
    <row r="59" spans="3:3" x14ac:dyDescent="0.25">
      <c r="C59" s="71"/>
    </row>
    <row r="60" spans="3:3" x14ac:dyDescent="0.25">
      <c r="C60" s="71"/>
    </row>
    <row r="61" spans="3:3" x14ac:dyDescent="0.25">
      <c r="C61" s="71"/>
    </row>
    <row r="62" spans="3:3" x14ac:dyDescent="0.25">
      <c r="C62" s="71"/>
    </row>
    <row r="63" spans="3:3" x14ac:dyDescent="0.25">
      <c r="C63" s="71"/>
    </row>
    <row r="64" spans="3:3" x14ac:dyDescent="0.25">
      <c r="C64" s="71"/>
    </row>
    <row r="65" spans="3:3" x14ac:dyDescent="0.25">
      <c r="C65" s="71"/>
    </row>
    <row r="66" spans="3:3" x14ac:dyDescent="0.25">
      <c r="C66" s="71"/>
    </row>
    <row r="67" spans="3:3" x14ac:dyDescent="0.25">
      <c r="C67" s="71"/>
    </row>
    <row r="68" spans="3:3" x14ac:dyDescent="0.25">
      <c r="C68" s="71"/>
    </row>
    <row r="69" spans="3:3" x14ac:dyDescent="0.25">
      <c r="C69" s="71"/>
    </row>
    <row r="70" spans="3:3" x14ac:dyDescent="0.25">
      <c r="C70" s="71"/>
    </row>
    <row r="71" spans="3:3" x14ac:dyDescent="0.25">
      <c r="C71" s="71"/>
    </row>
    <row r="72" spans="3:3" x14ac:dyDescent="0.25">
      <c r="C72" s="71"/>
    </row>
    <row r="73" spans="3:3" x14ac:dyDescent="0.25">
      <c r="C73" s="71"/>
    </row>
    <row r="74" spans="3:3" x14ac:dyDescent="0.25">
      <c r="C74" s="71"/>
    </row>
    <row r="75" spans="3:3" x14ac:dyDescent="0.25">
      <c r="C75" s="71"/>
    </row>
    <row r="76" spans="3:3" x14ac:dyDescent="0.25">
      <c r="C76" s="71"/>
    </row>
    <row r="77" spans="3:3" x14ac:dyDescent="0.25">
      <c r="C77" s="71"/>
    </row>
    <row r="78" spans="3:3" x14ac:dyDescent="0.25">
      <c r="C78" s="71"/>
    </row>
    <row r="79" spans="3:3" x14ac:dyDescent="0.25">
      <c r="C79" s="71"/>
    </row>
    <row r="80" spans="3:3" x14ac:dyDescent="0.25">
      <c r="C80" s="71"/>
    </row>
    <row r="81" spans="3:3" x14ac:dyDescent="0.25">
      <c r="C81" s="71"/>
    </row>
    <row r="82" spans="3:3" x14ac:dyDescent="0.25">
      <c r="C82" s="71"/>
    </row>
    <row r="83" spans="3:3" x14ac:dyDescent="0.25">
      <c r="C83" s="71"/>
    </row>
    <row r="84" spans="3:3" x14ac:dyDescent="0.25">
      <c r="C84" s="71"/>
    </row>
    <row r="85" spans="3:3" x14ac:dyDescent="0.25">
      <c r="C85" s="71"/>
    </row>
    <row r="86" spans="3:3" x14ac:dyDescent="0.25">
      <c r="C86" s="71"/>
    </row>
    <row r="87" spans="3:3" x14ac:dyDescent="0.25">
      <c r="C87" s="71"/>
    </row>
    <row r="88" spans="3:3" x14ac:dyDescent="0.25">
      <c r="C88" s="71"/>
    </row>
    <row r="89" spans="3:3" x14ac:dyDescent="0.25">
      <c r="C89" s="71"/>
    </row>
    <row r="90" spans="3:3" x14ac:dyDescent="0.25">
      <c r="C90" s="71"/>
    </row>
    <row r="91" spans="3:3" x14ac:dyDescent="0.25">
      <c r="C91" s="71"/>
    </row>
    <row r="92" spans="3:3" x14ac:dyDescent="0.25">
      <c r="C92" s="71"/>
    </row>
    <row r="93" spans="3:3" x14ac:dyDescent="0.25">
      <c r="C93" s="71"/>
    </row>
    <row r="94" spans="3:3" x14ac:dyDescent="0.25">
      <c r="C94" s="71"/>
    </row>
    <row r="95" spans="3:3" x14ac:dyDescent="0.25">
      <c r="C95" s="71"/>
    </row>
    <row r="96" spans="3:3" x14ac:dyDescent="0.25">
      <c r="C96" s="71"/>
    </row>
    <row r="97" spans="3:3" x14ac:dyDescent="0.25">
      <c r="C97" s="71"/>
    </row>
    <row r="98" spans="3:3" x14ac:dyDescent="0.25">
      <c r="C98" s="71"/>
    </row>
    <row r="99" spans="3:3" x14ac:dyDescent="0.25">
      <c r="C99" s="71"/>
    </row>
    <row r="100" spans="3:3" x14ac:dyDescent="0.25">
      <c r="C100" s="71"/>
    </row>
    <row r="101" spans="3:3" x14ac:dyDescent="0.25">
      <c r="C101" s="71"/>
    </row>
    <row r="102" spans="3:3" x14ac:dyDescent="0.25">
      <c r="C102" s="71"/>
    </row>
    <row r="103" spans="3:3" x14ac:dyDescent="0.25">
      <c r="C103" s="71"/>
    </row>
    <row r="104" spans="3:3" x14ac:dyDescent="0.25">
      <c r="C104" s="71"/>
    </row>
    <row r="105" spans="3:3" x14ac:dyDescent="0.25">
      <c r="C105" s="71"/>
    </row>
    <row r="106" spans="3:3" x14ac:dyDescent="0.25">
      <c r="C106" s="71"/>
    </row>
    <row r="107" spans="3:3" x14ac:dyDescent="0.25">
      <c r="C107" s="71"/>
    </row>
    <row r="108" spans="3:3" x14ac:dyDescent="0.25">
      <c r="C108" s="71"/>
    </row>
    <row r="109" spans="3:3" x14ac:dyDescent="0.25">
      <c r="C109" s="71"/>
    </row>
    <row r="110" spans="3:3" x14ac:dyDescent="0.25">
      <c r="C110" s="71"/>
    </row>
    <row r="111" spans="3:3" x14ac:dyDescent="0.25">
      <c r="C111" s="71"/>
    </row>
    <row r="112" spans="3:3" x14ac:dyDescent="0.25">
      <c r="C112" s="71"/>
    </row>
    <row r="113" spans="3:3" x14ac:dyDescent="0.25">
      <c r="C113" s="71"/>
    </row>
    <row r="114" spans="3:3" x14ac:dyDescent="0.25">
      <c r="C114" s="71"/>
    </row>
    <row r="115" spans="3:3" x14ac:dyDescent="0.25">
      <c r="C115" s="71"/>
    </row>
    <row r="116" spans="3:3" x14ac:dyDescent="0.25">
      <c r="C116" s="71"/>
    </row>
    <row r="117" spans="3:3" x14ac:dyDescent="0.25">
      <c r="C117" s="71"/>
    </row>
    <row r="118" spans="3:3" x14ac:dyDescent="0.25">
      <c r="C118" s="71"/>
    </row>
    <row r="119" spans="3:3" x14ac:dyDescent="0.25">
      <c r="C119" s="71"/>
    </row>
    <row r="120" spans="3:3" x14ac:dyDescent="0.25">
      <c r="C120" s="71"/>
    </row>
    <row r="121" spans="3:3" x14ac:dyDescent="0.25">
      <c r="C121" s="71"/>
    </row>
    <row r="122" spans="3:3" x14ac:dyDescent="0.25">
      <c r="C122" s="71"/>
    </row>
    <row r="123" spans="3:3" x14ac:dyDescent="0.25">
      <c r="C123" s="71"/>
    </row>
    <row r="124" spans="3:3" x14ac:dyDescent="0.25">
      <c r="C124" s="71"/>
    </row>
    <row r="125" spans="3:3" x14ac:dyDescent="0.25">
      <c r="C125" s="71"/>
    </row>
    <row r="126" spans="3:3" x14ac:dyDescent="0.25">
      <c r="C126" s="71"/>
    </row>
    <row r="127" spans="3:3" x14ac:dyDescent="0.25">
      <c r="C127" s="71"/>
    </row>
    <row r="128" spans="3:3" x14ac:dyDescent="0.25">
      <c r="C128" s="71"/>
    </row>
    <row r="129" spans="3:3" x14ac:dyDescent="0.25">
      <c r="C129" s="71"/>
    </row>
    <row r="130" spans="3:3" x14ac:dyDescent="0.25">
      <c r="C130" s="71"/>
    </row>
    <row r="131" spans="3:3" x14ac:dyDescent="0.25">
      <c r="C131" s="71"/>
    </row>
    <row r="132" spans="3:3" x14ac:dyDescent="0.25">
      <c r="C132" s="71"/>
    </row>
    <row r="133" spans="3:3" x14ac:dyDescent="0.25">
      <c r="C133" s="71"/>
    </row>
    <row r="134" spans="3:3" x14ac:dyDescent="0.25">
      <c r="C134" s="71"/>
    </row>
    <row r="135" spans="3:3" x14ac:dyDescent="0.25">
      <c r="C135" s="71"/>
    </row>
    <row r="136" spans="3:3" x14ac:dyDescent="0.25">
      <c r="C136" s="71"/>
    </row>
    <row r="137" spans="3:3" x14ac:dyDescent="0.25">
      <c r="C137" s="71"/>
    </row>
    <row r="138" spans="3:3" x14ac:dyDescent="0.25">
      <c r="C138" s="71"/>
    </row>
    <row r="139" spans="3:3" x14ac:dyDescent="0.25">
      <c r="C139" s="71"/>
    </row>
    <row r="140" spans="3:3" x14ac:dyDescent="0.25">
      <c r="C140" s="71"/>
    </row>
    <row r="141" spans="3:3" x14ac:dyDescent="0.25">
      <c r="C141" s="71"/>
    </row>
    <row r="142" spans="3:3" x14ac:dyDescent="0.25">
      <c r="C142" s="71"/>
    </row>
    <row r="143" spans="3:3" x14ac:dyDescent="0.25">
      <c r="C143" s="71"/>
    </row>
    <row r="144" spans="3:3" x14ac:dyDescent="0.25">
      <c r="C144" s="71"/>
    </row>
    <row r="145" spans="3:3" x14ac:dyDescent="0.25">
      <c r="C145" s="71"/>
    </row>
    <row r="146" spans="3:3" x14ac:dyDescent="0.25">
      <c r="C146" s="71"/>
    </row>
    <row r="147" spans="3:3" x14ac:dyDescent="0.25">
      <c r="C147" s="71"/>
    </row>
    <row r="148" spans="3:3" x14ac:dyDescent="0.25">
      <c r="C148" s="71"/>
    </row>
    <row r="149" spans="3:3" x14ac:dyDescent="0.25">
      <c r="C149" s="71"/>
    </row>
    <row r="150" spans="3:3" x14ac:dyDescent="0.25">
      <c r="C150" s="71"/>
    </row>
    <row r="151" spans="3:3" x14ac:dyDescent="0.25">
      <c r="C151" s="71"/>
    </row>
    <row r="152" spans="3:3" x14ac:dyDescent="0.25">
      <c r="C152" s="71"/>
    </row>
    <row r="153" spans="3:3" x14ac:dyDescent="0.25">
      <c r="C153" s="71"/>
    </row>
    <row r="154" spans="3:3" x14ac:dyDescent="0.25">
      <c r="C154" s="71"/>
    </row>
    <row r="155" spans="3:3" x14ac:dyDescent="0.25">
      <c r="C155" s="71"/>
    </row>
    <row r="156" spans="3:3" x14ac:dyDescent="0.25">
      <c r="C156" s="71"/>
    </row>
    <row r="157" spans="3:3" x14ac:dyDescent="0.25">
      <c r="C157" s="71"/>
    </row>
    <row r="158" spans="3:3" x14ac:dyDescent="0.25">
      <c r="C158" s="71"/>
    </row>
    <row r="159" spans="3:3" x14ac:dyDescent="0.25">
      <c r="C159" s="71"/>
    </row>
    <row r="160" spans="3:3" x14ac:dyDescent="0.25">
      <c r="C160" s="71"/>
    </row>
    <row r="161" spans="3:3" x14ac:dyDescent="0.25">
      <c r="C161" s="71"/>
    </row>
    <row r="162" spans="3:3" x14ac:dyDescent="0.25">
      <c r="C162" s="71"/>
    </row>
    <row r="163" spans="3:3" x14ac:dyDescent="0.25">
      <c r="C163" s="71"/>
    </row>
    <row r="164" spans="3:3" x14ac:dyDescent="0.25">
      <c r="C164" s="71"/>
    </row>
    <row r="165" spans="3:3" x14ac:dyDescent="0.25">
      <c r="C165" s="71"/>
    </row>
    <row r="166" spans="3:3" x14ac:dyDescent="0.25">
      <c r="C166" s="71"/>
    </row>
    <row r="167" spans="3:3" x14ac:dyDescent="0.25">
      <c r="C167" s="71"/>
    </row>
    <row r="168" spans="3:3" x14ac:dyDescent="0.25">
      <c r="C168" s="71"/>
    </row>
    <row r="169" spans="3:3" x14ac:dyDescent="0.25">
      <c r="C169" s="71"/>
    </row>
    <row r="170" spans="3:3" x14ac:dyDescent="0.25">
      <c r="C170" s="71"/>
    </row>
    <row r="171" spans="3:3" x14ac:dyDescent="0.25">
      <c r="C171" s="71"/>
    </row>
    <row r="172" spans="3:3" x14ac:dyDescent="0.25">
      <c r="C172" s="71"/>
    </row>
    <row r="173" spans="3:3" x14ac:dyDescent="0.25">
      <c r="C173" s="71"/>
    </row>
    <row r="174" spans="3:3" x14ac:dyDescent="0.25">
      <c r="C174" s="71"/>
    </row>
    <row r="175" spans="3:3" x14ac:dyDescent="0.25">
      <c r="C175" s="71"/>
    </row>
    <row r="176" spans="3:3" x14ac:dyDescent="0.25">
      <c r="C176" s="71"/>
    </row>
    <row r="177" spans="3:3" x14ac:dyDescent="0.25">
      <c r="C177" s="71"/>
    </row>
    <row r="178" spans="3:3" x14ac:dyDescent="0.25">
      <c r="C178" s="71"/>
    </row>
    <row r="179" spans="3:3" x14ac:dyDescent="0.25">
      <c r="C179" s="71"/>
    </row>
    <row r="180" spans="3:3" x14ac:dyDescent="0.25">
      <c r="C180" s="71"/>
    </row>
    <row r="181" spans="3:3" x14ac:dyDescent="0.25">
      <c r="C181" s="71"/>
    </row>
    <row r="182" spans="3:3" x14ac:dyDescent="0.25">
      <c r="C182" s="71"/>
    </row>
    <row r="183" spans="3:3" x14ac:dyDescent="0.25">
      <c r="C183" s="71"/>
    </row>
    <row r="184" spans="3:3" x14ac:dyDescent="0.25">
      <c r="C184" s="71"/>
    </row>
    <row r="185" spans="3:3" x14ac:dyDescent="0.25">
      <c r="C185" s="71"/>
    </row>
    <row r="186" spans="3:3" x14ac:dyDescent="0.25">
      <c r="C186" s="71"/>
    </row>
    <row r="187" spans="3:3" x14ac:dyDescent="0.25">
      <c r="C187" s="71"/>
    </row>
    <row r="188" spans="3:3" x14ac:dyDescent="0.25">
      <c r="C188" s="71"/>
    </row>
    <row r="189" spans="3:3" x14ac:dyDescent="0.25">
      <c r="C189" s="71"/>
    </row>
    <row r="190" spans="3:3" x14ac:dyDescent="0.25">
      <c r="C190" s="71"/>
    </row>
    <row r="191" spans="3:3" x14ac:dyDescent="0.25">
      <c r="C191" s="71"/>
    </row>
    <row r="192" spans="3:3" x14ac:dyDescent="0.25">
      <c r="C192" s="71"/>
    </row>
    <row r="193" spans="3:3" x14ac:dyDescent="0.25">
      <c r="C193" s="71"/>
    </row>
    <row r="194" spans="3:3" x14ac:dyDescent="0.25">
      <c r="C194" s="71"/>
    </row>
    <row r="195" spans="3:3" x14ac:dyDescent="0.25">
      <c r="C195" s="71"/>
    </row>
    <row r="196" spans="3:3" x14ac:dyDescent="0.25">
      <c r="C196" s="71"/>
    </row>
    <row r="197" spans="3:3" x14ac:dyDescent="0.25">
      <c r="C197" s="71"/>
    </row>
    <row r="198" spans="3:3" x14ac:dyDescent="0.25">
      <c r="C198" s="71"/>
    </row>
    <row r="199" spans="3:3" x14ac:dyDescent="0.25">
      <c r="C199" s="71"/>
    </row>
    <row r="200" spans="3:3" x14ac:dyDescent="0.25">
      <c r="C200" s="71"/>
    </row>
    <row r="201" spans="3:3" x14ac:dyDescent="0.25">
      <c r="C201" s="71"/>
    </row>
    <row r="202" spans="3:3" x14ac:dyDescent="0.25">
      <c r="C202" s="71"/>
    </row>
    <row r="203" spans="3:3" x14ac:dyDescent="0.25">
      <c r="C203" s="71"/>
    </row>
    <row r="204" spans="3:3" x14ac:dyDescent="0.25">
      <c r="C204" s="71"/>
    </row>
    <row r="205" spans="3:3" x14ac:dyDescent="0.25">
      <c r="C205" s="71"/>
    </row>
    <row r="206" spans="3:3" x14ac:dyDescent="0.25">
      <c r="C206" s="71"/>
    </row>
    <row r="207" spans="3:3" x14ac:dyDescent="0.25">
      <c r="C207" s="71"/>
    </row>
    <row r="208" spans="3:3" x14ac:dyDescent="0.25">
      <c r="C208" s="71"/>
    </row>
    <row r="209" spans="3:3" x14ac:dyDescent="0.25">
      <c r="C209" s="71"/>
    </row>
    <row r="210" spans="3:3" x14ac:dyDescent="0.25">
      <c r="C210" s="71"/>
    </row>
    <row r="211" spans="3:3" x14ac:dyDescent="0.25">
      <c r="C211" s="71"/>
    </row>
    <row r="212" spans="3:3" x14ac:dyDescent="0.25">
      <c r="C212" s="71"/>
    </row>
    <row r="213" spans="3:3" x14ac:dyDescent="0.25">
      <c r="C213" s="71"/>
    </row>
    <row r="214" spans="3:3" x14ac:dyDescent="0.25">
      <c r="C214" s="71"/>
    </row>
    <row r="215" spans="3:3" x14ac:dyDescent="0.25">
      <c r="C215" s="71"/>
    </row>
    <row r="216" spans="3:3" x14ac:dyDescent="0.25">
      <c r="C216" s="71"/>
    </row>
    <row r="217" spans="3:3" x14ac:dyDescent="0.25">
      <c r="C217" s="71"/>
    </row>
    <row r="218" spans="3:3" x14ac:dyDescent="0.25">
      <c r="C218" s="71"/>
    </row>
    <row r="219" spans="3:3" x14ac:dyDescent="0.25">
      <c r="C219" s="71"/>
    </row>
    <row r="220" spans="3:3" x14ac:dyDescent="0.25">
      <c r="C220" s="71"/>
    </row>
    <row r="221" spans="3:3" x14ac:dyDescent="0.25">
      <c r="C221" s="71"/>
    </row>
    <row r="222" spans="3:3" x14ac:dyDescent="0.25">
      <c r="C222" s="71"/>
    </row>
    <row r="223" spans="3:3" x14ac:dyDescent="0.25">
      <c r="C223" s="71"/>
    </row>
    <row r="224" spans="3:3" x14ac:dyDescent="0.25">
      <c r="C224" s="71"/>
    </row>
    <row r="225" spans="3:3" x14ac:dyDescent="0.25">
      <c r="C225" s="71"/>
    </row>
    <row r="226" spans="3:3" x14ac:dyDescent="0.25">
      <c r="C226" s="71"/>
    </row>
    <row r="227" spans="3:3" x14ac:dyDescent="0.25">
      <c r="C227" s="71"/>
    </row>
    <row r="228" spans="3:3" x14ac:dyDescent="0.25">
      <c r="C228" s="71"/>
    </row>
    <row r="229" spans="3:3" x14ac:dyDescent="0.25">
      <c r="C229" s="71"/>
    </row>
    <row r="230" spans="3:3" x14ac:dyDescent="0.25">
      <c r="C230" s="71"/>
    </row>
    <row r="231" spans="3:3" x14ac:dyDescent="0.25">
      <c r="C231" s="71"/>
    </row>
    <row r="232" spans="3:3" x14ac:dyDescent="0.25">
      <c r="C232" s="71"/>
    </row>
    <row r="233" spans="3:3" x14ac:dyDescent="0.25">
      <c r="C233" s="71"/>
    </row>
    <row r="234" spans="3:3" x14ac:dyDescent="0.25">
      <c r="C234" s="71"/>
    </row>
    <row r="235" spans="3:3" x14ac:dyDescent="0.25">
      <c r="C235" s="71"/>
    </row>
    <row r="236" spans="3:3" x14ac:dyDescent="0.25">
      <c r="C236" s="71"/>
    </row>
    <row r="237" spans="3:3" x14ac:dyDescent="0.25">
      <c r="C237" s="71"/>
    </row>
    <row r="238" spans="3:3" x14ac:dyDescent="0.25">
      <c r="C238" s="71"/>
    </row>
    <row r="239" spans="3:3" x14ac:dyDescent="0.25">
      <c r="C239" s="71"/>
    </row>
    <row r="240" spans="3:3" x14ac:dyDescent="0.25">
      <c r="C240" s="71"/>
    </row>
    <row r="241" spans="3:3" x14ac:dyDescent="0.25">
      <c r="C241" s="71"/>
    </row>
    <row r="242" spans="3:3" x14ac:dyDescent="0.25">
      <c r="C242" s="71"/>
    </row>
    <row r="243" spans="3:3" x14ac:dyDescent="0.25">
      <c r="C243" s="71"/>
    </row>
    <row r="244" spans="3:3" x14ac:dyDescent="0.25">
      <c r="C244" s="71"/>
    </row>
    <row r="245" spans="3:3" x14ac:dyDescent="0.25">
      <c r="C245" s="71"/>
    </row>
    <row r="246" spans="3:3" x14ac:dyDescent="0.25">
      <c r="C246" s="71"/>
    </row>
    <row r="247" spans="3:3" x14ac:dyDescent="0.25">
      <c r="C247" s="71"/>
    </row>
    <row r="248" spans="3:3" x14ac:dyDescent="0.25">
      <c r="C248" s="71"/>
    </row>
    <row r="249" spans="3:3" x14ac:dyDescent="0.25">
      <c r="C249" s="71"/>
    </row>
    <row r="250" spans="3:3" x14ac:dyDescent="0.25">
      <c r="C250" s="71"/>
    </row>
    <row r="251" spans="3:3" x14ac:dyDescent="0.25">
      <c r="C251" s="71"/>
    </row>
    <row r="252" spans="3:3" x14ac:dyDescent="0.25">
      <c r="C252" s="71"/>
    </row>
    <row r="253" spans="3:3" x14ac:dyDescent="0.25">
      <c r="C253" s="71"/>
    </row>
    <row r="254" spans="3:3" x14ac:dyDescent="0.25">
      <c r="C254" s="71"/>
    </row>
    <row r="255" spans="3:3" x14ac:dyDescent="0.25">
      <c r="C255" s="71"/>
    </row>
    <row r="256" spans="3:3" x14ac:dyDescent="0.25">
      <c r="C256" s="71"/>
    </row>
    <row r="257" spans="3:3" x14ac:dyDescent="0.25">
      <c r="C257" s="71"/>
    </row>
    <row r="258" spans="3:3" x14ac:dyDescent="0.25">
      <c r="C258" s="71"/>
    </row>
    <row r="259" spans="3:3" x14ac:dyDescent="0.25">
      <c r="C259" s="71"/>
    </row>
    <row r="260" spans="3:3" x14ac:dyDescent="0.25">
      <c r="C260" s="71"/>
    </row>
    <row r="261" spans="3:3" x14ac:dyDescent="0.25">
      <c r="C261" s="71"/>
    </row>
    <row r="262" spans="3:3" x14ac:dyDescent="0.25">
      <c r="C262" s="71"/>
    </row>
    <row r="263" spans="3:3" x14ac:dyDescent="0.25">
      <c r="C263" s="71"/>
    </row>
    <row r="264" spans="3:3" x14ac:dyDescent="0.25">
      <c r="C264" s="71"/>
    </row>
    <row r="265" spans="3:3" x14ac:dyDescent="0.25">
      <c r="C265" s="71"/>
    </row>
    <row r="266" spans="3:3" x14ac:dyDescent="0.25">
      <c r="C266" s="71"/>
    </row>
    <row r="267" spans="3:3" x14ac:dyDescent="0.25">
      <c r="C267" s="71"/>
    </row>
    <row r="268" spans="3:3" x14ac:dyDescent="0.25">
      <c r="C268" s="71"/>
    </row>
    <row r="269" spans="3:3" x14ac:dyDescent="0.25">
      <c r="C269" s="71"/>
    </row>
    <row r="270" spans="3:3" x14ac:dyDescent="0.25">
      <c r="C270" s="71"/>
    </row>
    <row r="271" spans="3:3" x14ac:dyDescent="0.25">
      <c r="C271" s="71"/>
    </row>
    <row r="272" spans="3:3" x14ac:dyDescent="0.25">
      <c r="C272" s="71"/>
    </row>
    <row r="273" spans="3:3" x14ac:dyDescent="0.25">
      <c r="C273" s="71"/>
    </row>
    <row r="274" spans="3:3" x14ac:dyDescent="0.25">
      <c r="C274" s="71"/>
    </row>
    <row r="275" spans="3:3" x14ac:dyDescent="0.25">
      <c r="C275" s="71"/>
    </row>
    <row r="276" spans="3:3" x14ac:dyDescent="0.25">
      <c r="C276" s="71"/>
    </row>
    <row r="277" spans="3:3" x14ac:dyDescent="0.25">
      <c r="C277" s="71"/>
    </row>
    <row r="278" spans="3:3" x14ac:dyDescent="0.25">
      <c r="C278" s="71"/>
    </row>
    <row r="279" spans="3:3" x14ac:dyDescent="0.25">
      <c r="C279" s="71"/>
    </row>
    <row r="280" spans="3:3" x14ac:dyDescent="0.25">
      <c r="C280" s="71"/>
    </row>
    <row r="281" spans="3:3" x14ac:dyDescent="0.25">
      <c r="C281" s="71"/>
    </row>
    <row r="282" spans="3:3" x14ac:dyDescent="0.25">
      <c r="C282" s="71"/>
    </row>
    <row r="283" spans="3:3" x14ac:dyDescent="0.25">
      <c r="C283" s="71"/>
    </row>
    <row r="284" spans="3:3" x14ac:dyDescent="0.25">
      <c r="C284" s="71"/>
    </row>
    <row r="285" spans="3:3" x14ac:dyDescent="0.25">
      <c r="C285" s="71"/>
    </row>
    <row r="286" spans="3:3" x14ac:dyDescent="0.25">
      <c r="C286" s="71"/>
    </row>
    <row r="287" spans="3:3" x14ac:dyDescent="0.25">
      <c r="C287" s="71"/>
    </row>
    <row r="288" spans="3:3" x14ac:dyDescent="0.25">
      <c r="C288" s="71"/>
    </row>
    <row r="289" spans="3:3" x14ac:dyDescent="0.25">
      <c r="C289" s="71"/>
    </row>
    <row r="290" spans="3:3" x14ac:dyDescent="0.25">
      <c r="C290" s="71"/>
    </row>
    <row r="291" spans="3:3" x14ac:dyDescent="0.25">
      <c r="C291" s="71"/>
    </row>
    <row r="292" spans="3:3" x14ac:dyDescent="0.25">
      <c r="C292" s="71"/>
    </row>
    <row r="293" spans="3:3" x14ac:dyDescent="0.25">
      <c r="C293" s="71"/>
    </row>
    <row r="294" spans="3:3" x14ac:dyDescent="0.25">
      <c r="C294" s="71"/>
    </row>
    <row r="295" spans="3:3" x14ac:dyDescent="0.25">
      <c r="C295" s="71"/>
    </row>
    <row r="296" spans="3:3" x14ac:dyDescent="0.25">
      <c r="C296" s="71"/>
    </row>
    <row r="297" spans="3:3" x14ac:dyDescent="0.25">
      <c r="C297" s="71"/>
    </row>
    <row r="298" spans="3:3" x14ac:dyDescent="0.25">
      <c r="C298" s="71"/>
    </row>
    <row r="299" spans="3:3" x14ac:dyDescent="0.25">
      <c r="C299" s="71"/>
    </row>
    <row r="300" spans="3:3" x14ac:dyDescent="0.25">
      <c r="C300" s="71"/>
    </row>
    <row r="301" spans="3:3" x14ac:dyDescent="0.25">
      <c r="C301" s="71"/>
    </row>
    <row r="302" spans="3:3" x14ac:dyDescent="0.25">
      <c r="C302" s="71"/>
    </row>
    <row r="303" spans="3:3" x14ac:dyDescent="0.25">
      <c r="C303" s="71"/>
    </row>
    <row r="304" spans="3:3" x14ac:dyDescent="0.25">
      <c r="C304" s="71"/>
    </row>
    <row r="305" spans="3:3" x14ac:dyDescent="0.25">
      <c r="C305" s="71"/>
    </row>
    <row r="306" spans="3:3" x14ac:dyDescent="0.25">
      <c r="C306" s="71"/>
    </row>
    <row r="307" spans="3:3" x14ac:dyDescent="0.25">
      <c r="C307" s="71"/>
    </row>
    <row r="308" spans="3:3" x14ac:dyDescent="0.25">
      <c r="C308" s="71"/>
    </row>
    <row r="309" spans="3:3" x14ac:dyDescent="0.25">
      <c r="C309" s="71"/>
    </row>
    <row r="310" spans="3:3" x14ac:dyDescent="0.25">
      <c r="C310" s="71"/>
    </row>
    <row r="311" spans="3:3" x14ac:dyDescent="0.25">
      <c r="C311" s="71"/>
    </row>
    <row r="312" spans="3:3" x14ac:dyDescent="0.25">
      <c r="C312" s="71"/>
    </row>
    <row r="313" spans="3:3" x14ac:dyDescent="0.25">
      <c r="C313" s="71"/>
    </row>
    <row r="314" spans="3:3" x14ac:dyDescent="0.25">
      <c r="C314" s="71"/>
    </row>
    <row r="315" spans="3:3" x14ac:dyDescent="0.25">
      <c r="C315" s="71"/>
    </row>
    <row r="316" spans="3:3" x14ac:dyDescent="0.25">
      <c r="C316" s="71"/>
    </row>
    <row r="317" spans="3:3" x14ac:dyDescent="0.25">
      <c r="C317" s="71"/>
    </row>
    <row r="318" spans="3:3" x14ac:dyDescent="0.25">
      <c r="C318" s="71"/>
    </row>
    <row r="319" spans="3:3" x14ac:dyDescent="0.25">
      <c r="C319" s="71"/>
    </row>
    <row r="320" spans="3:3" x14ac:dyDescent="0.25">
      <c r="C320" s="71"/>
    </row>
    <row r="321" spans="3:3" x14ac:dyDescent="0.25">
      <c r="C321" s="71"/>
    </row>
    <row r="322" spans="3:3" x14ac:dyDescent="0.25">
      <c r="C322" s="71"/>
    </row>
    <row r="323" spans="3:3" x14ac:dyDescent="0.25">
      <c r="C323" s="71"/>
    </row>
    <row r="324" spans="3:3" x14ac:dyDescent="0.25">
      <c r="C324" s="71"/>
    </row>
    <row r="325" spans="3:3" x14ac:dyDescent="0.25">
      <c r="C325" s="71"/>
    </row>
    <row r="326" spans="3:3" x14ac:dyDescent="0.25">
      <c r="C326" s="71"/>
    </row>
    <row r="327" spans="3:3" x14ac:dyDescent="0.25">
      <c r="C327" s="71"/>
    </row>
    <row r="328" spans="3:3" x14ac:dyDescent="0.25">
      <c r="C328" s="71"/>
    </row>
    <row r="329" spans="3:3" x14ac:dyDescent="0.25">
      <c r="C329" s="71"/>
    </row>
    <row r="330" spans="3:3" x14ac:dyDescent="0.25">
      <c r="C330" s="71"/>
    </row>
    <row r="331" spans="3:3" x14ac:dyDescent="0.25">
      <c r="C331" s="71"/>
    </row>
    <row r="332" spans="3:3" x14ac:dyDescent="0.25">
      <c r="C332" s="71"/>
    </row>
    <row r="333" spans="3:3" x14ac:dyDescent="0.25">
      <c r="C333" s="71"/>
    </row>
    <row r="334" spans="3:3" x14ac:dyDescent="0.25">
      <c r="C334" s="71"/>
    </row>
    <row r="335" spans="3:3" x14ac:dyDescent="0.25">
      <c r="C335" s="71"/>
    </row>
    <row r="336" spans="3:3" x14ac:dyDescent="0.25">
      <c r="C336" s="71"/>
    </row>
    <row r="337" spans="3:3" x14ac:dyDescent="0.25">
      <c r="C337" s="71"/>
    </row>
    <row r="338" spans="3:3" x14ac:dyDescent="0.25">
      <c r="C338" s="71"/>
    </row>
    <row r="339" spans="3:3" x14ac:dyDescent="0.25">
      <c r="C339" s="71"/>
    </row>
    <row r="340" spans="3:3" x14ac:dyDescent="0.25">
      <c r="C340" s="71"/>
    </row>
    <row r="341" spans="3:3" x14ac:dyDescent="0.25">
      <c r="C341" s="71"/>
    </row>
    <row r="342" spans="3:3" x14ac:dyDescent="0.25">
      <c r="C342" s="71"/>
    </row>
    <row r="343" spans="3:3" x14ac:dyDescent="0.25">
      <c r="C343" s="71"/>
    </row>
    <row r="344" spans="3:3" x14ac:dyDescent="0.25">
      <c r="C344" s="71"/>
    </row>
    <row r="345" spans="3:3" x14ac:dyDescent="0.25">
      <c r="C345" s="71"/>
    </row>
    <row r="346" spans="3:3" x14ac:dyDescent="0.25">
      <c r="C346" s="71"/>
    </row>
    <row r="347" spans="3:3" x14ac:dyDescent="0.25">
      <c r="C347" s="71"/>
    </row>
    <row r="348" spans="3:3" x14ac:dyDescent="0.25">
      <c r="C348" s="71"/>
    </row>
    <row r="349" spans="3:3" x14ac:dyDescent="0.25">
      <c r="C349" s="71"/>
    </row>
    <row r="350" spans="3:3" x14ac:dyDescent="0.25">
      <c r="C350" s="71"/>
    </row>
    <row r="351" spans="3:3" x14ac:dyDescent="0.25">
      <c r="C351" s="71"/>
    </row>
    <row r="352" spans="3:3" x14ac:dyDescent="0.25">
      <c r="C352" s="71"/>
    </row>
    <row r="353" spans="3:3" x14ac:dyDescent="0.25">
      <c r="C353" s="71"/>
    </row>
    <row r="354" spans="3:3" x14ac:dyDescent="0.25">
      <c r="C354" s="71"/>
    </row>
    <row r="355" spans="3:3" x14ac:dyDescent="0.25">
      <c r="C355" s="71"/>
    </row>
    <row r="356" spans="3:3" x14ac:dyDescent="0.25">
      <c r="C356" s="71"/>
    </row>
    <row r="357" spans="3:3" x14ac:dyDescent="0.25">
      <c r="C357" s="71"/>
    </row>
    <row r="358" spans="3:3" x14ac:dyDescent="0.25">
      <c r="C358" s="71"/>
    </row>
    <row r="359" spans="3:3" x14ac:dyDescent="0.25">
      <c r="C359" s="71"/>
    </row>
    <row r="360" spans="3:3" x14ac:dyDescent="0.25">
      <c r="C360" s="71"/>
    </row>
    <row r="361" spans="3:3" x14ac:dyDescent="0.25">
      <c r="C361" s="71"/>
    </row>
    <row r="362" spans="3:3" x14ac:dyDescent="0.25">
      <c r="C362" s="71"/>
    </row>
    <row r="363" spans="3:3" x14ac:dyDescent="0.25">
      <c r="C363" s="71"/>
    </row>
    <row r="364" spans="3:3" x14ac:dyDescent="0.25">
      <c r="C364" s="71"/>
    </row>
    <row r="365" spans="3:3" x14ac:dyDescent="0.25">
      <c r="C365" s="71"/>
    </row>
    <row r="366" spans="3:3" x14ac:dyDescent="0.25">
      <c r="C366" s="71"/>
    </row>
    <row r="367" spans="3:3" x14ac:dyDescent="0.25">
      <c r="C367" s="71"/>
    </row>
    <row r="368" spans="3:3" x14ac:dyDescent="0.25">
      <c r="C368" s="71"/>
    </row>
    <row r="369" spans="3:3" x14ac:dyDescent="0.25">
      <c r="C369" s="71"/>
    </row>
    <row r="370" spans="3:3" x14ac:dyDescent="0.25">
      <c r="C370" s="71"/>
    </row>
    <row r="371" spans="3:3" x14ac:dyDescent="0.25">
      <c r="C371" s="71"/>
    </row>
    <row r="372" spans="3:3" x14ac:dyDescent="0.25">
      <c r="C372" s="71"/>
    </row>
    <row r="373" spans="3:3" x14ac:dyDescent="0.25">
      <c r="C373" s="71"/>
    </row>
    <row r="374" spans="3:3" x14ac:dyDescent="0.25">
      <c r="C374" s="71"/>
    </row>
    <row r="375" spans="3:3" x14ac:dyDescent="0.25">
      <c r="C375" s="71"/>
    </row>
    <row r="376" spans="3:3" x14ac:dyDescent="0.25">
      <c r="C376" s="71"/>
    </row>
    <row r="377" spans="3:3" x14ac:dyDescent="0.25">
      <c r="C377" s="71"/>
    </row>
    <row r="378" spans="3:3" x14ac:dyDescent="0.25">
      <c r="C378" s="71"/>
    </row>
    <row r="379" spans="3:3" x14ac:dyDescent="0.25">
      <c r="C379" s="71"/>
    </row>
    <row r="380" spans="3:3" x14ac:dyDescent="0.25">
      <c r="C380" s="71"/>
    </row>
    <row r="381" spans="3:3" x14ac:dyDescent="0.25">
      <c r="C381" s="71"/>
    </row>
    <row r="382" spans="3:3" x14ac:dyDescent="0.25">
      <c r="C382" s="71"/>
    </row>
    <row r="383" spans="3:3" x14ac:dyDescent="0.25">
      <c r="C383" s="71"/>
    </row>
    <row r="384" spans="3:3" x14ac:dyDescent="0.25">
      <c r="C384" s="71"/>
    </row>
    <row r="385" spans="3:3" x14ac:dyDescent="0.25">
      <c r="C385" s="71"/>
    </row>
    <row r="386" spans="3:3" x14ac:dyDescent="0.25">
      <c r="C386" s="71"/>
    </row>
    <row r="387" spans="3:3" x14ac:dyDescent="0.25">
      <c r="C387" s="71"/>
    </row>
    <row r="388" spans="3:3" x14ac:dyDescent="0.25">
      <c r="C388" s="71"/>
    </row>
    <row r="389" spans="3:3" x14ac:dyDescent="0.25">
      <c r="C389" s="71"/>
    </row>
    <row r="390" spans="3:3" x14ac:dyDescent="0.25">
      <c r="C390" s="71"/>
    </row>
    <row r="391" spans="3:3" x14ac:dyDescent="0.25">
      <c r="C391" s="71"/>
    </row>
    <row r="392" spans="3:3" x14ac:dyDescent="0.25">
      <c r="C392" s="71"/>
    </row>
    <row r="393" spans="3:3" x14ac:dyDescent="0.25">
      <c r="C393" s="71"/>
    </row>
    <row r="394" spans="3:3" x14ac:dyDescent="0.25">
      <c r="C394" s="71"/>
    </row>
    <row r="395" spans="3:3" x14ac:dyDescent="0.25">
      <c r="C395" s="71"/>
    </row>
    <row r="396" spans="3:3" x14ac:dyDescent="0.25">
      <c r="C396" s="71"/>
    </row>
    <row r="397" spans="3:3" x14ac:dyDescent="0.25">
      <c r="C397" s="71"/>
    </row>
    <row r="398" spans="3:3" x14ac:dyDescent="0.25">
      <c r="C398" s="71"/>
    </row>
    <row r="399" spans="3:3" x14ac:dyDescent="0.25">
      <c r="C399" s="71"/>
    </row>
    <row r="400" spans="3:3" x14ac:dyDescent="0.25">
      <c r="C400" s="71"/>
    </row>
    <row r="401" spans="3:3" x14ac:dyDescent="0.25">
      <c r="C401" s="71"/>
    </row>
    <row r="402" spans="3:3" x14ac:dyDescent="0.25">
      <c r="C402" s="71"/>
    </row>
    <row r="403" spans="3:3" x14ac:dyDescent="0.25">
      <c r="C403" s="71"/>
    </row>
    <row r="404" spans="3:3" x14ac:dyDescent="0.25">
      <c r="C404" s="71"/>
    </row>
    <row r="405" spans="3:3" x14ac:dyDescent="0.25">
      <c r="C405" s="71"/>
    </row>
    <row r="406" spans="3:3" x14ac:dyDescent="0.25">
      <c r="C406" s="71"/>
    </row>
    <row r="407" spans="3:3" x14ac:dyDescent="0.25">
      <c r="C407" s="71"/>
    </row>
    <row r="408" spans="3:3" x14ac:dyDescent="0.25">
      <c r="C408" s="71"/>
    </row>
    <row r="409" spans="3:3" x14ac:dyDescent="0.25">
      <c r="C409" s="71"/>
    </row>
    <row r="410" spans="3:3" x14ac:dyDescent="0.25">
      <c r="C410" s="71"/>
    </row>
    <row r="411" spans="3:3" x14ac:dyDescent="0.25">
      <c r="C411" s="71"/>
    </row>
    <row r="412" spans="3:3" x14ac:dyDescent="0.25">
      <c r="C412" s="71"/>
    </row>
    <row r="413" spans="3:3" x14ac:dyDescent="0.25">
      <c r="C413" s="71"/>
    </row>
    <row r="414" spans="3:3" x14ac:dyDescent="0.25">
      <c r="C414" s="71"/>
    </row>
    <row r="415" spans="3:3" x14ac:dyDescent="0.25">
      <c r="C415" s="71"/>
    </row>
    <row r="416" spans="3:3" x14ac:dyDescent="0.25">
      <c r="C416" s="71"/>
    </row>
    <row r="417" spans="3:3" x14ac:dyDescent="0.25">
      <c r="C417" s="71"/>
    </row>
    <row r="418" spans="3:3" x14ac:dyDescent="0.25">
      <c r="C418" s="71"/>
    </row>
    <row r="419" spans="3:3" x14ac:dyDescent="0.25">
      <c r="C419" s="71"/>
    </row>
    <row r="420" spans="3:3" x14ac:dyDescent="0.25">
      <c r="C420" s="71"/>
    </row>
    <row r="421" spans="3:3" x14ac:dyDescent="0.25">
      <c r="C421" s="71"/>
    </row>
    <row r="422" spans="3:3" x14ac:dyDescent="0.25">
      <c r="C422" s="71"/>
    </row>
    <row r="423" spans="3:3" x14ac:dyDescent="0.25">
      <c r="C423" s="71"/>
    </row>
    <row r="424" spans="3:3" x14ac:dyDescent="0.25">
      <c r="C424" s="71"/>
    </row>
    <row r="425" spans="3:3" x14ac:dyDescent="0.25">
      <c r="C425" s="71"/>
    </row>
    <row r="426" spans="3:3" x14ac:dyDescent="0.25">
      <c r="C426" s="71"/>
    </row>
    <row r="427" spans="3:3" x14ac:dyDescent="0.25">
      <c r="C427" s="71"/>
    </row>
    <row r="428" spans="3:3" x14ac:dyDescent="0.25">
      <c r="C428" s="71"/>
    </row>
    <row r="429" spans="3:3" x14ac:dyDescent="0.25">
      <c r="C429" s="71"/>
    </row>
  </sheetData>
  <pageMargins left="0.7" right="0.7" top="0.78740157499999996" bottom="0.78740157499999996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Z22"/>
  <sheetViews>
    <sheetView workbookViewId="0">
      <selection activeCell="O7" sqref="O7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6.85546875" style="1" customWidth="1"/>
    <col min="4" max="4" width="9.42578125" customWidth="1"/>
    <col min="5" max="5" width="10" customWidth="1"/>
    <col min="7" max="7" width="13" customWidth="1"/>
    <col min="8" max="8" width="13.85546875" customWidth="1"/>
    <col min="9" max="9" width="17" customWidth="1"/>
    <col min="10" max="10" width="13.7109375" customWidth="1"/>
    <col min="11" max="11" width="12.85546875" customWidth="1"/>
    <col min="13" max="13" width="15.28515625" customWidth="1"/>
    <col min="14" max="14" width="14.7109375" customWidth="1"/>
    <col min="15" max="16" width="13.28515625" customWidth="1"/>
    <col min="17" max="17" width="36.28515625" customWidth="1"/>
    <col min="21" max="21" width="21.5703125" customWidth="1"/>
    <col min="22" max="22" width="20.42578125" customWidth="1"/>
    <col min="24" max="24" width="16.42578125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270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40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" thickTop="1" x14ac:dyDescent="0.2">
      <c r="A3" s="168" t="s">
        <v>1</v>
      </c>
      <c r="B3" s="169" t="s">
        <v>180</v>
      </c>
      <c r="C3" s="170" t="s">
        <v>94</v>
      </c>
      <c r="D3" s="172">
        <v>5</v>
      </c>
      <c r="E3" s="172">
        <v>30</v>
      </c>
      <c r="F3" s="172">
        <v>275</v>
      </c>
      <c r="G3" s="172">
        <v>160</v>
      </c>
      <c r="H3" s="172">
        <v>5</v>
      </c>
      <c r="I3" s="172">
        <v>0</v>
      </c>
      <c r="J3" s="172">
        <v>1439</v>
      </c>
      <c r="K3" s="229">
        <v>0</v>
      </c>
      <c r="L3" s="172" t="s">
        <v>2</v>
      </c>
      <c r="M3" s="170" t="s">
        <v>2</v>
      </c>
      <c r="N3" s="172" t="s">
        <v>3</v>
      </c>
      <c r="O3" s="172" t="s">
        <v>3</v>
      </c>
      <c r="P3" s="170" t="s">
        <v>2</v>
      </c>
      <c r="Q3" s="170" t="s">
        <v>2</v>
      </c>
      <c r="R3" s="178" t="s">
        <v>3</v>
      </c>
      <c r="S3" s="178" t="s">
        <v>3</v>
      </c>
      <c r="T3" s="178">
        <v>0</v>
      </c>
      <c r="U3" s="172"/>
      <c r="V3" s="172"/>
      <c r="W3" s="172" t="s">
        <v>45</v>
      </c>
      <c r="X3" s="172"/>
      <c r="Y3" s="172" t="s">
        <v>2</v>
      </c>
      <c r="Z3" s="173"/>
    </row>
    <row r="4" spans="1:26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275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9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3</v>
      </c>
      <c r="T4" s="178">
        <v>0</v>
      </c>
      <c r="U4" s="178"/>
      <c r="V4" s="178"/>
      <c r="W4" s="178" t="s">
        <v>45</v>
      </c>
      <c r="X4" s="178"/>
      <c r="Y4" s="178" t="s">
        <v>2</v>
      </c>
      <c r="Z4" s="180"/>
    </row>
    <row r="5" spans="1:26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300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3</v>
      </c>
      <c r="O5" s="178" t="s">
        <v>3</v>
      </c>
      <c r="P5" s="176" t="s">
        <v>2</v>
      </c>
      <c r="Q5" s="176" t="s">
        <v>2</v>
      </c>
      <c r="R5" s="178" t="s">
        <v>3</v>
      </c>
      <c r="S5" s="178" t="s">
        <v>3</v>
      </c>
      <c r="T5" s="178">
        <v>0</v>
      </c>
      <c r="U5" s="178"/>
      <c r="V5" s="178"/>
      <c r="W5" s="178" t="s">
        <v>45</v>
      </c>
      <c r="X5" s="178"/>
      <c r="Y5" s="178" t="s">
        <v>2</v>
      </c>
      <c r="Z5" s="180"/>
    </row>
    <row r="6" spans="1:26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300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3</v>
      </c>
      <c r="T6" s="178">
        <v>0</v>
      </c>
      <c r="U6" s="178"/>
      <c r="V6" s="178"/>
      <c r="W6" s="178" t="s">
        <v>45</v>
      </c>
      <c r="X6" s="178"/>
      <c r="Y6" s="178" t="s">
        <v>2</v>
      </c>
      <c r="Z6" s="180"/>
    </row>
    <row r="7" spans="1:26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300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8" t="s">
        <v>3</v>
      </c>
      <c r="N7" s="178" t="s">
        <v>3</v>
      </c>
      <c r="O7" s="178" t="s">
        <v>3</v>
      </c>
      <c r="P7" s="176" t="s">
        <v>2</v>
      </c>
      <c r="Q7" s="176" t="s">
        <v>2</v>
      </c>
      <c r="R7" s="178" t="s">
        <v>3</v>
      </c>
      <c r="S7" s="178" t="s">
        <v>3</v>
      </c>
      <c r="T7" s="178">
        <v>0</v>
      </c>
      <c r="U7" s="178"/>
      <c r="V7" s="178"/>
      <c r="W7" s="178" t="s">
        <v>45</v>
      </c>
      <c r="X7" s="178"/>
      <c r="Y7" s="178" t="s">
        <v>2</v>
      </c>
      <c r="Z7" s="180"/>
    </row>
    <row r="8" spans="1:26" ht="14.25" x14ac:dyDescent="0.2">
      <c r="A8" s="174" t="s">
        <v>163</v>
      </c>
      <c r="B8" s="177" t="s">
        <v>180</v>
      </c>
      <c r="C8" s="176" t="s">
        <v>94</v>
      </c>
      <c r="D8" s="178">
        <v>12</v>
      </c>
      <c r="E8" s="178">
        <v>30</v>
      </c>
      <c r="F8" s="178">
        <v>275</v>
      </c>
      <c r="G8" s="178">
        <v>200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8" t="s">
        <v>3</v>
      </c>
      <c r="N8" s="178" t="s">
        <v>3</v>
      </c>
      <c r="O8" s="178" t="s">
        <v>3</v>
      </c>
      <c r="P8" s="176" t="s">
        <v>2</v>
      </c>
      <c r="Q8" s="176" t="s">
        <v>2</v>
      </c>
      <c r="R8" s="178" t="s">
        <v>3</v>
      </c>
      <c r="S8" s="178" t="s">
        <v>3</v>
      </c>
      <c r="T8" s="178">
        <v>0</v>
      </c>
      <c r="U8" s="178"/>
      <c r="V8" s="178"/>
      <c r="W8" s="178" t="s">
        <v>45</v>
      </c>
      <c r="X8" s="178"/>
      <c r="Y8" s="178" t="s">
        <v>2</v>
      </c>
      <c r="Z8" s="180"/>
    </row>
    <row r="9" spans="1:26" ht="14.25" x14ac:dyDescent="0.2">
      <c r="A9" s="174" t="s">
        <v>164</v>
      </c>
      <c r="B9" s="177" t="s">
        <v>181</v>
      </c>
      <c r="C9" s="176" t="s">
        <v>94</v>
      </c>
      <c r="D9" s="181">
        <v>4</v>
      </c>
      <c r="E9" s="178">
        <v>30</v>
      </c>
      <c r="F9" s="178">
        <v>300</v>
      </c>
      <c r="G9" s="178">
        <v>190</v>
      </c>
      <c r="H9" s="178">
        <v>5</v>
      </c>
      <c r="I9" s="178">
        <v>0</v>
      </c>
      <c r="J9" s="178">
        <v>1439</v>
      </c>
      <c r="K9" s="178">
        <v>0</v>
      </c>
      <c r="L9" s="178" t="s">
        <v>2</v>
      </c>
      <c r="M9" s="176" t="s">
        <v>2</v>
      </c>
      <c r="N9" s="178" t="s">
        <v>3</v>
      </c>
      <c r="O9" s="178" t="s">
        <v>3</v>
      </c>
      <c r="P9" s="176" t="s">
        <v>2</v>
      </c>
      <c r="Q9" s="176" t="s">
        <v>2</v>
      </c>
      <c r="R9" s="178" t="s">
        <v>3</v>
      </c>
      <c r="S9" s="178" t="s">
        <v>3</v>
      </c>
      <c r="T9" s="178">
        <v>0</v>
      </c>
      <c r="U9" s="178"/>
      <c r="V9" s="178"/>
      <c r="W9" s="178" t="s">
        <v>45</v>
      </c>
      <c r="X9" s="178"/>
      <c r="Y9" s="178" t="s">
        <v>2</v>
      </c>
      <c r="Z9" s="180"/>
    </row>
    <row r="10" spans="1:26" ht="14.25" x14ac:dyDescent="0.2">
      <c r="A10" s="174" t="s">
        <v>165</v>
      </c>
      <c r="B10" s="177" t="s">
        <v>180</v>
      </c>
      <c r="C10" s="176" t="s">
        <v>94</v>
      </c>
      <c r="D10" s="178">
        <v>24</v>
      </c>
      <c r="E10" s="178">
        <v>70</v>
      </c>
      <c r="F10" s="178">
        <v>120</v>
      </c>
      <c r="G10" s="178">
        <v>80</v>
      </c>
      <c r="H10" s="178">
        <v>5</v>
      </c>
      <c r="I10" s="178">
        <v>0</v>
      </c>
      <c r="J10" s="178">
        <v>1439</v>
      </c>
      <c r="K10" s="178">
        <v>0</v>
      </c>
      <c r="L10" s="178" t="s">
        <v>2</v>
      </c>
      <c r="M10" s="178" t="s">
        <v>3</v>
      </c>
      <c r="N10" s="178" t="s">
        <v>3</v>
      </c>
      <c r="O10" s="178" t="s">
        <v>3</v>
      </c>
      <c r="P10" s="176" t="s">
        <v>2</v>
      </c>
      <c r="Q10" s="178" t="s">
        <v>3</v>
      </c>
      <c r="R10" s="178" t="s">
        <v>3</v>
      </c>
      <c r="S10" s="178" t="s">
        <v>3</v>
      </c>
      <c r="T10" s="178">
        <v>0</v>
      </c>
      <c r="U10" s="178"/>
      <c r="V10" s="178"/>
      <c r="W10" s="178" t="s">
        <v>45</v>
      </c>
      <c r="X10" s="178"/>
      <c r="Y10" s="178" t="s">
        <v>2</v>
      </c>
      <c r="Z10" s="180"/>
    </row>
    <row r="11" spans="1:26" ht="14.25" x14ac:dyDescent="0.2">
      <c r="A11" s="174" t="s">
        <v>5</v>
      </c>
      <c r="B11" s="177" t="s">
        <v>180</v>
      </c>
      <c r="C11" s="176" t="s">
        <v>94</v>
      </c>
      <c r="D11" s="178">
        <v>8</v>
      </c>
      <c r="E11" s="179">
        <v>1</v>
      </c>
      <c r="F11" s="179">
        <v>3</v>
      </c>
      <c r="G11" s="179">
        <v>3</v>
      </c>
      <c r="H11" s="179">
        <v>1</v>
      </c>
      <c r="I11" s="178">
        <v>0</v>
      </c>
      <c r="J11" s="178">
        <v>1439</v>
      </c>
      <c r="K11" s="178">
        <v>0</v>
      </c>
      <c r="L11" s="178" t="s">
        <v>2</v>
      </c>
      <c r="M11" s="178" t="s">
        <v>3</v>
      </c>
      <c r="N11" s="178" t="s">
        <v>3</v>
      </c>
      <c r="O11" s="178" t="s">
        <v>3</v>
      </c>
      <c r="P11" s="178" t="s">
        <v>3</v>
      </c>
      <c r="Q11" s="178" t="s">
        <v>3</v>
      </c>
      <c r="R11" s="178" t="s">
        <v>3</v>
      </c>
      <c r="S11" s="178" t="s">
        <v>3</v>
      </c>
      <c r="T11" s="178">
        <v>0</v>
      </c>
      <c r="U11" s="178"/>
      <c r="V11" s="178"/>
      <c r="W11" s="178" t="s">
        <v>45</v>
      </c>
      <c r="X11" s="178"/>
      <c r="Y11" s="178" t="s">
        <v>2</v>
      </c>
      <c r="Z11" s="180"/>
    </row>
    <row r="12" spans="1:26" ht="14.25" x14ac:dyDescent="0.2">
      <c r="A12" s="174" t="s">
        <v>6</v>
      </c>
      <c r="B12" s="177" t="s">
        <v>180</v>
      </c>
      <c r="C12" s="176" t="s">
        <v>94</v>
      </c>
      <c r="D12" s="178">
        <v>7</v>
      </c>
      <c r="E12" s="179">
        <v>1</v>
      </c>
      <c r="F12" s="179">
        <v>3</v>
      </c>
      <c r="G12" s="179">
        <v>3</v>
      </c>
      <c r="H12" s="179">
        <v>1</v>
      </c>
      <c r="I12" s="178">
        <v>0</v>
      </c>
      <c r="J12" s="178">
        <v>1439</v>
      </c>
      <c r="K12" s="178">
        <v>0</v>
      </c>
      <c r="L12" s="178" t="s">
        <v>2</v>
      </c>
      <c r="M12" s="178" t="s">
        <v>3</v>
      </c>
      <c r="N12" s="178" t="s">
        <v>3</v>
      </c>
      <c r="O12" s="178" t="s">
        <v>3</v>
      </c>
      <c r="P12" s="178" t="s">
        <v>3</v>
      </c>
      <c r="Q12" s="178" t="s">
        <v>3</v>
      </c>
      <c r="R12" s="178" t="s">
        <v>3</v>
      </c>
      <c r="S12" s="178" t="s">
        <v>3</v>
      </c>
      <c r="T12" s="178">
        <v>0</v>
      </c>
      <c r="U12" s="178"/>
      <c r="V12" s="178"/>
      <c r="W12" s="178" t="s">
        <v>45</v>
      </c>
      <c r="X12" s="178"/>
      <c r="Y12" s="178" t="s">
        <v>2</v>
      </c>
      <c r="Z12" s="180"/>
    </row>
    <row r="13" spans="1:26" ht="14.25" x14ac:dyDescent="0.2">
      <c r="A13" s="174" t="s">
        <v>10</v>
      </c>
      <c r="B13" s="177" t="s">
        <v>182</v>
      </c>
      <c r="C13" s="176" t="s">
        <v>94</v>
      </c>
      <c r="D13" s="178">
        <v>48</v>
      </c>
      <c r="E13" s="178">
        <v>30</v>
      </c>
      <c r="F13" s="178">
        <v>275</v>
      </c>
      <c r="G13" s="178">
        <v>200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8" t="s">
        <v>3</v>
      </c>
      <c r="N13" s="178" t="s">
        <v>3</v>
      </c>
      <c r="O13" s="178" t="s">
        <v>3</v>
      </c>
      <c r="P13" s="176" t="s">
        <v>2</v>
      </c>
      <c r="Q13" s="178" t="s">
        <v>3</v>
      </c>
      <c r="R13" s="178" t="s">
        <v>3</v>
      </c>
      <c r="S13" s="178" t="s">
        <v>3</v>
      </c>
      <c r="T13" s="178">
        <v>0</v>
      </c>
      <c r="U13" s="178"/>
      <c r="V13" s="178"/>
      <c r="W13" s="178" t="s">
        <v>45</v>
      </c>
      <c r="X13" s="178"/>
      <c r="Y13" s="178" t="s">
        <v>2</v>
      </c>
      <c r="Z13" s="180"/>
    </row>
    <row r="14" spans="1:26" ht="14.25" x14ac:dyDescent="0.2">
      <c r="A14" s="174" t="s">
        <v>7</v>
      </c>
      <c r="B14" s="177" t="s">
        <v>180</v>
      </c>
      <c r="C14" s="176" t="s">
        <v>94</v>
      </c>
      <c r="D14" s="178">
        <v>11</v>
      </c>
      <c r="E14" s="178">
        <v>30</v>
      </c>
      <c r="F14" s="178">
        <v>250</v>
      </c>
      <c r="G14" s="178">
        <v>150</v>
      </c>
      <c r="H14" s="178">
        <v>5</v>
      </c>
      <c r="I14" s="178">
        <v>0</v>
      </c>
      <c r="J14" s="178">
        <v>1439</v>
      </c>
      <c r="K14" s="178">
        <v>0</v>
      </c>
      <c r="L14" s="178" t="s">
        <v>2</v>
      </c>
      <c r="M14" s="178" t="s">
        <v>3</v>
      </c>
      <c r="N14" s="178" t="s">
        <v>3</v>
      </c>
      <c r="O14" s="178" t="s">
        <v>3</v>
      </c>
      <c r="P14" s="176" t="s">
        <v>2</v>
      </c>
      <c r="Q14" s="176" t="s">
        <v>2</v>
      </c>
      <c r="R14" s="178" t="s">
        <v>3</v>
      </c>
      <c r="S14" s="178" t="s">
        <v>3</v>
      </c>
      <c r="T14" s="178">
        <v>0</v>
      </c>
      <c r="U14" s="178"/>
      <c r="V14" s="178"/>
      <c r="W14" s="178" t="s">
        <v>45</v>
      </c>
      <c r="X14" s="178"/>
      <c r="Y14" s="178" t="s">
        <v>2</v>
      </c>
      <c r="Z14" s="180"/>
    </row>
    <row r="15" spans="1:26" ht="14.25" x14ac:dyDescent="0.2">
      <c r="A15" s="174" t="s">
        <v>8</v>
      </c>
      <c r="B15" s="177" t="s">
        <v>180</v>
      </c>
      <c r="C15" s="176" t="s">
        <v>94</v>
      </c>
      <c r="D15" s="178">
        <v>14</v>
      </c>
      <c r="E15" s="178">
        <v>50</v>
      </c>
      <c r="F15" s="178">
        <v>100</v>
      </c>
      <c r="G15" s="178">
        <v>65</v>
      </c>
      <c r="H15" s="178">
        <v>5</v>
      </c>
      <c r="I15" s="178">
        <v>0</v>
      </c>
      <c r="J15" s="178">
        <v>1439</v>
      </c>
      <c r="K15" s="178">
        <v>0</v>
      </c>
      <c r="L15" s="178" t="s">
        <v>2</v>
      </c>
      <c r="M15" s="178" t="s">
        <v>3</v>
      </c>
      <c r="N15" s="178" t="s">
        <v>3</v>
      </c>
      <c r="O15" s="178" t="s">
        <v>3</v>
      </c>
      <c r="P15" s="176" t="s">
        <v>2</v>
      </c>
      <c r="Q15" s="178" t="s">
        <v>3</v>
      </c>
      <c r="R15" s="178" t="s">
        <v>3</v>
      </c>
      <c r="S15" s="178" t="s">
        <v>3</v>
      </c>
      <c r="T15" s="178">
        <v>0</v>
      </c>
      <c r="U15" s="178"/>
      <c r="V15" s="178"/>
      <c r="W15" s="178" t="s">
        <v>45</v>
      </c>
      <c r="X15" s="178"/>
      <c r="Y15" s="178" t="s">
        <v>2</v>
      </c>
      <c r="Z15" s="180"/>
    </row>
    <row r="16" spans="1:26" ht="14.25" x14ac:dyDescent="0.2">
      <c r="A16" s="174" t="s">
        <v>155</v>
      </c>
      <c r="B16" s="177" t="s">
        <v>183</v>
      </c>
      <c r="C16" s="176" t="s">
        <v>94</v>
      </c>
      <c r="D16" s="178">
        <v>10</v>
      </c>
      <c r="E16" s="178">
        <v>3</v>
      </c>
      <c r="F16" s="178">
        <v>60</v>
      </c>
      <c r="G16" s="178">
        <v>30</v>
      </c>
      <c r="H16" s="178">
        <v>5</v>
      </c>
      <c r="I16" s="178">
        <v>0</v>
      </c>
      <c r="J16" s="178">
        <v>1439</v>
      </c>
      <c r="K16" s="178">
        <v>0</v>
      </c>
      <c r="L16" s="178" t="s">
        <v>2</v>
      </c>
      <c r="M16" s="178" t="s">
        <v>3</v>
      </c>
      <c r="N16" s="178" t="s">
        <v>3</v>
      </c>
      <c r="O16" s="178" t="s">
        <v>3</v>
      </c>
      <c r="P16" s="176" t="s">
        <v>2</v>
      </c>
      <c r="Q16" s="178" t="s">
        <v>3</v>
      </c>
      <c r="R16" s="178" t="s">
        <v>3</v>
      </c>
      <c r="S16" s="178" t="s">
        <v>3</v>
      </c>
      <c r="T16" s="178">
        <v>0</v>
      </c>
      <c r="U16" s="178"/>
      <c r="V16" s="178"/>
      <c r="W16" s="178" t="s">
        <v>45</v>
      </c>
      <c r="X16" s="178"/>
      <c r="Y16" s="178" t="s">
        <v>2</v>
      </c>
      <c r="Z16" s="180"/>
    </row>
    <row r="17" spans="1:26" ht="14.25" x14ac:dyDescent="0.2">
      <c r="A17" s="174" t="s">
        <v>156</v>
      </c>
      <c r="B17" s="177" t="s">
        <v>180</v>
      </c>
      <c r="C17" s="176" t="s">
        <v>94</v>
      </c>
      <c r="D17" s="178">
        <v>16</v>
      </c>
      <c r="E17" s="178">
        <v>35</v>
      </c>
      <c r="F17" s="178">
        <v>50</v>
      </c>
      <c r="G17" s="178">
        <v>35</v>
      </c>
      <c r="H17" s="178">
        <v>5</v>
      </c>
      <c r="I17" s="178">
        <v>1</v>
      </c>
      <c r="J17" s="178">
        <v>1439</v>
      </c>
      <c r="K17" s="178">
        <v>30</v>
      </c>
      <c r="L17" s="178" t="s">
        <v>3</v>
      </c>
      <c r="M17" s="178" t="s">
        <v>3</v>
      </c>
      <c r="N17" s="178" t="s">
        <v>3</v>
      </c>
      <c r="O17" s="178" t="s">
        <v>3</v>
      </c>
      <c r="P17" s="176" t="s">
        <v>2</v>
      </c>
      <c r="Q17" s="178" t="s">
        <v>3</v>
      </c>
      <c r="R17" s="178" t="s">
        <v>3</v>
      </c>
      <c r="S17" s="178" t="s">
        <v>3</v>
      </c>
      <c r="T17" s="178">
        <v>0</v>
      </c>
      <c r="U17" s="178"/>
      <c r="V17" s="178"/>
      <c r="W17" s="178" t="s">
        <v>45</v>
      </c>
      <c r="X17" s="178"/>
      <c r="Y17" s="178" t="s">
        <v>2</v>
      </c>
      <c r="Z17" s="180"/>
    </row>
    <row r="18" spans="1:26" ht="14.25" x14ac:dyDescent="0.2">
      <c r="A18" s="174" t="s">
        <v>157</v>
      </c>
      <c r="B18" s="177" t="s">
        <v>181</v>
      </c>
      <c r="C18" s="176" t="s">
        <v>94</v>
      </c>
      <c r="D18" s="178">
        <v>47</v>
      </c>
      <c r="E18" s="178">
        <v>30</v>
      </c>
      <c r="F18" s="178">
        <v>130</v>
      </c>
      <c r="G18" s="178">
        <v>80</v>
      </c>
      <c r="H18" s="178">
        <v>5</v>
      </c>
      <c r="I18" s="178">
        <v>0</v>
      </c>
      <c r="J18" s="178">
        <v>1439</v>
      </c>
      <c r="K18" s="178">
        <v>0</v>
      </c>
      <c r="L18" s="178" t="s">
        <v>2</v>
      </c>
      <c r="M18" s="178" t="s">
        <v>3</v>
      </c>
      <c r="N18" s="178" t="s">
        <v>3</v>
      </c>
      <c r="O18" s="178" t="s">
        <v>3</v>
      </c>
      <c r="P18" s="176" t="s">
        <v>2</v>
      </c>
      <c r="Q18" s="178" t="s">
        <v>3</v>
      </c>
      <c r="R18" s="178" t="s">
        <v>2</v>
      </c>
      <c r="S18" s="178" t="s">
        <v>3</v>
      </c>
      <c r="T18" s="178">
        <v>0</v>
      </c>
      <c r="U18" s="178"/>
      <c r="V18" s="178"/>
      <c r="W18" s="178" t="s">
        <v>45</v>
      </c>
      <c r="X18" s="178"/>
      <c r="Y18" s="178" t="s">
        <v>2</v>
      </c>
      <c r="Z18" s="180"/>
    </row>
    <row r="19" spans="1:26" ht="14.25" x14ac:dyDescent="0.2">
      <c r="A19" s="174" t="s">
        <v>9</v>
      </c>
      <c r="B19" s="177" t="s">
        <v>180</v>
      </c>
      <c r="C19" s="176" t="s">
        <v>94</v>
      </c>
      <c r="D19" s="178">
        <v>15</v>
      </c>
      <c r="E19" s="178">
        <v>30</v>
      </c>
      <c r="F19" s="178">
        <v>70</v>
      </c>
      <c r="G19" s="178">
        <v>50</v>
      </c>
      <c r="H19" s="178">
        <v>5</v>
      </c>
      <c r="I19" s="178">
        <v>0</v>
      </c>
      <c r="J19" s="178">
        <v>1439</v>
      </c>
      <c r="K19" s="178">
        <v>0</v>
      </c>
      <c r="L19" s="178" t="s">
        <v>2</v>
      </c>
      <c r="M19" s="178" t="s">
        <v>3</v>
      </c>
      <c r="N19" s="178" t="s">
        <v>3</v>
      </c>
      <c r="O19" s="178" t="s">
        <v>3</v>
      </c>
      <c r="P19" s="176" t="s">
        <v>2</v>
      </c>
      <c r="Q19" s="178" t="s">
        <v>3</v>
      </c>
      <c r="R19" s="178" t="s">
        <v>3</v>
      </c>
      <c r="S19" s="178" t="s">
        <v>3</v>
      </c>
      <c r="T19" s="178">
        <v>0</v>
      </c>
      <c r="U19" s="178"/>
      <c r="V19" s="178"/>
      <c r="W19" s="178" t="s">
        <v>45</v>
      </c>
      <c r="X19" s="178"/>
      <c r="Y19" s="178" t="s">
        <v>2</v>
      </c>
      <c r="Z19" s="180"/>
    </row>
    <row r="20" spans="1:26" ht="14.25" x14ac:dyDescent="0.2">
      <c r="A20" s="174" t="s">
        <v>166</v>
      </c>
      <c r="B20" s="177" t="s">
        <v>180</v>
      </c>
      <c r="C20" s="176" t="s">
        <v>94</v>
      </c>
      <c r="D20" s="181">
        <v>21</v>
      </c>
      <c r="E20" s="178">
        <v>85</v>
      </c>
      <c r="F20" s="178">
        <v>140</v>
      </c>
      <c r="G20" s="178">
        <v>85</v>
      </c>
      <c r="H20" s="178">
        <v>5</v>
      </c>
      <c r="I20" s="178">
        <v>30</v>
      </c>
      <c r="J20" s="178">
        <v>1439</v>
      </c>
      <c r="K20" s="178">
        <v>1439</v>
      </c>
      <c r="L20" s="178" t="s">
        <v>3</v>
      </c>
      <c r="M20" s="178" t="s">
        <v>3</v>
      </c>
      <c r="N20" s="178" t="s">
        <v>3</v>
      </c>
      <c r="O20" s="178" t="s">
        <v>3</v>
      </c>
      <c r="P20" s="176" t="s">
        <v>2</v>
      </c>
      <c r="Q20" s="178" t="s">
        <v>3</v>
      </c>
      <c r="R20" s="178" t="s">
        <v>2</v>
      </c>
      <c r="S20" s="178" t="s">
        <v>3</v>
      </c>
      <c r="T20" s="178">
        <v>0</v>
      </c>
      <c r="U20" s="178"/>
      <c r="V20" s="178"/>
      <c r="W20" s="178" t="s">
        <v>45</v>
      </c>
      <c r="X20" s="178"/>
      <c r="Y20" s="178" t="s">
        <v>2</v>
      </c>
      <c r="Z20" s="180"/>
    </row>
    <row r="21" spans="1:26" ht="14.25" x14ac:dyDescent="0.2">
      <c r="A21" s="174" t="s">
        <v>11</v>
      </c>
      <c r="B21" s="182" t="s">
        <v>180</v>
      </c>
      <c r="C21" s="176" t="s">
        <v>94</v>
      </c>
      <c r="D21" s="181">
        <v>9</v>
      </c>
      <c r="E21" s="179">
        <v>1</v>
      </c>
      <c r="F21" s="179">
        <v>1</v>
      </c>
      <c r="G21" s="179">
        <v>1</v>
      </c>
      <c r="H21" s="179">
        <v>1</v>
      </c>
      <c r="I21" s="178">
        <v>90</v>
      </c>
      <c r="J21" s="178">
        <v>180</v>
      </c>
      <c r="K21" s="178">
        <v>120</v>
      </c>
      <c r="L21" s="178" t="s">
        <v>3</v>
      </c>
      <c r="M21" s="178" t="s">
        <v>3</v>
      </c>
      <c r="N21" s="178" t="s">
        <v>3</v>
      </c>
      <c r="O21" s="178" t="s">
        <v>3</v>
      </c>
      <c r="P21" s="178" t="s">
        <v>3</v>
      </c>
      <c r="Q21" s="178" t="s">
        <v>3</v>
      </c>
      <c r="R21" s="178" t="s">
        <v>3</v>
      </c>
      <c r="S21" s="178" t="s">
        <v>3</v>
      </c>
      <c r="T21" s="178">
        <v>0</v>
      </c>
      <c r="U21" s="178"/>
      <c r="V21" s="178"/>
      <c r="W21" s="178" t="s">
        <v>25</v>
      </c>
      <c r="X21" s="178"/>
      <c r="Y21" s="178" t="s">
        <v>3</v>
      </c>
      <c r="Z21" s="180"/>
    </row>
    <row r="22" spans="1:26" ht="14.25" x14ac:dyDescent="0.2">
      <c r="A22" s="190" t="s">
        <v>12</v>
      </c>
      <c r="B22" s="191" t="s">
        <v>180</v>
      </c>
      <c r="C22" s="192" t="s">
        <v>94</v>
      </c>
      <c r="D22" s="195">
        <v>19</v>
      </c>
      <c r="E22" s="195">
        <v>1</v>
      </c>
      <c r="F22" s="195">
        <v>1</v>
      </c>
      <c r="G22" s="195">
        <v>1</v>
      </c>
      <c r="H22" s="195">
        <v>1</v>
      </c>
      <c r="I22" s="195">
        <v>60</v>
      </c>
      <c r="J22" s="195">
        <v>60</v>
      </c>
      <c r="K22" s="195">
        <v>60</v>
      </c>
      <c r="L22" s="195" t="s">
        <v>3</v>
      </c>
      <c r="M22" s="195" t="s">
        <v>3</v>
      </c>
      <c r="N22" s="195" t="s">
        <v>3</v>
      </c>
      <c r="O22" s="195" t="s">
        <v>3</v>
      </c>
      <c r="P22" s="195" t="s">
        <v>3</v>
      </c>
      <c r="Q22" s="195" t="s">
        <v>3</v>
      </c>
      <c r="R22" s="195" t="s">
        <v>3</v>
      </c>
      <c r="S22" s="195" t="s">
        <v>3</v>
      </c>
      <c r="T22" s="195">
        <v>0</v>
      </c>
      <c r="U22" s="195"/>
      <c r="V22" s="195"/>
      <c r="W22" s="195" t="s">
        <v>25</v>
      </c>
      <c r="X22" s="195"/>
      <c r="Y22" s="195" t="s">
        <v>2</v>
      </c>
      <c r="Z22" s="197"/>
    </row>
  </sheetData>
  <conditionalFormatting sqref="Z3:Z20 U2:V20 W3:W20 G10:H10 G6:H6 G4:L5 G7:L9 D3:L3 D19:K19 G2:K2 G11:K18 N2:N22 M3:M22 D20:L22 P14:Q14 P3:Q9 P10:P13 P15:P22 R18:R22 T3:T22 X2:Y20 T21:Z22 O3:O22">
    <cfRule type="expression" dxfId="248" priority="29" stopIfTrue="1">
      <formula>MOD(ROW(#REF!),2)=0</formula>
    </cfRule>
  </conditionalFormatting>
  <conditionalFormatting sqref="A1:B1 E12 O2 L11:L19 R2:S2 D13:E18 F4:F18 D4:E11">
    <cfRule type="expression" dxfId="247" priority="28" stopIfTrue="1">
      <formula>MOD(ROW(#REF!),2)=0</formula>
    </cfRule>
  </conditionalFormatting>
  <conditionalFormatting sqref="D2:E2 M2 P2">
    <cfRule type="expression" dxfId="246" priority="27" stopIfTrue="1">
      <formula>MOD(ROW(#REF!),2)=0</formula>
    </cfRule>
  </conditionalFormatting>
  <conditionalFormatting sqref="Z2">
    <cfRule type="expression" dxfId="245" priority="26" stopIfTrue="1">
      <formula>MOD(ROW(#REF!),2)=0</formula>
    </cfRule>
  </conditionalFormatting>
  <conditionalFormatting sqref="W2">
    <cfRule type="expression" dxfId="244" priority="25" stopIfTrue="1">
      <formula>MOD(ROW(#REF!),2)=0</formula>
    </cfRule>
  </conditionalFormatting>
  <conditionalFormatting sqref="T2">
    <cfRule type="expression" dxfId="243" priority="24" stopIfTrue="1">
      <formula>MOD(ROW(#REF!),2)=0</formula>
    </cfRule>
  </conditionalFormatting>
  <conditionalFormatting sqref="Q2">
    <cfRule type="expression" dxfId="242" priority="23" stopIfTrue="1">
      <formula>MOD(ROW(#REF!),2)=0</formula>
    </cfRule>
  </conditionalFormatting>
  <conditionalFormatting sqref="F2">
    <cfRule type="expression" dxfId="241" priority="21" stopIfTrue="1">
      <formula>MOD(ROW(#REF!),2)=0</formula>
    </cfRule>
  </conditionalFormatting>
  <conditionalFormatting sqref="C1">
    <cfRule type="expression" dxfId="240" priority="15" stopIfTrue="1">
      <formula>MOD(ROW(#REF!),2)=0</formula>
    </cfRule>
  </conditionalFormatting>
  <conditionalFormatting sqref="I10:L10">
    <cfRule type="expression" dxfId="239" priority="13" stopIfTrue="1">
      <formula>MOD(ROW(#REF!),2)=0</formula>
    </cfRule>
  </conditionalFormatting>
  <conditionalFormatting sqref="I6:L6">
    <cfRule type="expression" dxfId="238" priority="12" stopIfTrue="1">
      <formula>MOD(ROW(#REF!),2)=0</formula>
    </cfRule>
  </conditionalFormatting>
  <conditionalFormatting sqref="Q10:Q13">
    <cfRule type="expression" dxfId="237" priority="5" stopIfTrue="1">
      <formula>MOD(ROW(#REF!),2)=0</formula>
    </cfRule>
  </conditionalFormatting>
  <conditionalFormatting sqref="Q15:Q22">
    <cfRule type="expression" dxfId="236" priority="4" stopIfTrue="1">
      <formula>MOD(ROW(#REF!),2)=0</formula>
    </cfRule>
  </conditionalFormatting>
  <conditionalFormatting sqref="R3:R17">
    <cfRule type="expression" dxfId="235" priority="3" stopIfTrue="1">
      <formula>MOD(ROW(#REF!),2)=0</formula>
    </cfRule>
  </conditionalFormatting>
  <conditionalFormatting sqref="S3:S22">
    <cfRule type="expression" dxfId="234" priority="2" stopIfTrue="1">
      <formula>MOD(ROW(#REF!),2)=0</formula>
    </cfRule>
  </conditionalFormatting>
  <conditionalFormatting sqref="L2">
    <cfRule type="expression" dxfId="233" priority="1" stopIfTrue="1">
      <formula>MOD(ROW(#REF!),2)=0</formula>
    </cfRule>
  </conditionalFormatting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Z23"/>
  <sheetViews>
    <sheetView workbookViewId="0">
      <selection activeCell="H31" sqref="H31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14.5703125" customWidth="1"/>
    <col min="4" max="4" width="9.42578125" customWidth="1"/>
    <col min="5" max="5" width="10" customWidth="1"/>
    <col min="7" max="7" width="13" customWidth="1"/>
    <col min="8" max="8" width="13.85546875" customWidth="1"/>
    <col min="9" max="9" width="17" customWidth="1"/>
    <col min="10" max="10" width="13.7109375" customWidth="1"/>
    <col min="11" max="11" width="12.85546875" customWidth="1"/>
    <col min="13" max="13" width="15.28515625" customWidth="1"/>
    <col min="14" max="14" width="14.7109375" customWidth="1"/>
    <col min="15" max="16" width="13.28515625" customWidth="1"/>
    <col min="17" max="17" width="22.42578125" bestFit="1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178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40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" thickTop="1" x14ac:dyDescent="0.2">
      <c r="A3" s="168" t="s">
        <v>1</v>
      </c>
      <c r="B3" s="169" t="s">
        <v>180</v>
      </c>
      <c r="C3" s="170" t="s">
        <v>94</v>
      </c>
      <c r="D3" s="172">
        <v>5</v>
      </c>
      <c r="E3" s="172">
        <v>30</v>
      </c>
      <c r="F3" s="172">
        <v>275</v>
      </c>
      <c r="G3" s="172">
        <v>160</v>
      </c>
      <c r="H3" s="172">
        <v>5</v>
      </c>
      <c r="I3" s="172">
        <v>0</v>
      </c>
      <c r="J3" s="172">
        <v>1439</v>
      </c>
      <c r="K3" s="172">
        <v>0</v>
      </c>
      <c r="L3" s="172" t="s">
        <v>2</v>
      </c>
      <c r="M3" s="170" t="s">
        <v>2</v>
      </c>
      <c r="N3" s="178" t="s">
        <v>3</v>
      </c>
      <c r="O3" s="172" t="s">
        <v>2</v>
      </c>
      <c r="P3" s="170" t="s">
        <v>2</v>
      </c>
      <c r="Q3" s="170" t="s">
        <v>2</v>
      </c>
      <c r="R3" s="178" t="s">
        <v>3</v>
      </c>
      <c r="S3" s="178" t="s">
        <v>3</v>
      </c>
      <c r="T3" s="178">
        <v>0</v>
      </c>
      <c r="U3" s="172"/>
      <c r="V3" s="172"/>
      <c r="W3" s="172" t="s">
        <v>45</v>
      </c>
      <c r="X3" s="172"/>
      <c r="Y3" s="178" t="s">
        <v>2</v>
      </c>
      <c r="Z3" s="173"/>
    </row>
    <row r="4" spans="1:26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275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8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3</v>
      </c>
      <c r="T4" s="178">
        <v>0</v>
      </c>
      <c r="U4" s="178"/>
      <c r="V4" s="178"/>
      <c r="W4" s="178" t="s">
        <v>45</v>
      </c>
      <c r="X4" s="178"/>
      <c r="Y4" s="178" t="s">
        <v>2</v>
      </c>
      <c r="Z4" s="180"/>
    </row>
    <row r="5" spans="1:26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300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3</v>
      </c>
      <c r="O5" s="178" t="s">
        <v>2</v>
      </c>
      <c r="P5" s="176" t="s">
        <v>2</v>
      </c>
      <c r="Q5" s="176" t="s">
        <v>2</v>
      </c>
      <c r="R5" s="178" t="s">
        <v>3</v>
      </c>
      <c r="S5" s="178" t="s">
        <v>3</v>
      </c>
      <c r="T5" s="178">
        <v>0</v>
      </c>
      <c r="U5" s="178"/>
      <c r="V5" s="178"/>
      <c r="W5" s="178" t="s">
        <v>45</v>
      </c>
      <c r="X5" s="178"/>
      <c r="Y5" s="178" t="s">
        <v>2</v>
      </c>
      <c r="Z5" s="180"/>
    </row>
    <row r="6" spans="1:26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300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3</v>
      </c>
      <c r="T6" s="178">
        <v>0</v>
      </c>
      <c r="U6" s="178"/>
      <c r="V6" s="178"/>
      <c r="W6" s="178" t="s">
        <v>45</v>
      </c>
      <c r="X6" s="178"/>
      <c r="Y6" s="178" t="s">
        <v>2</v>
      </c>
      <c r="Z6" s="180"/>
    </row>
    <row r="7" spans="1:26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300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8" t="s">
        <v>3</v>
      </c>
      <c r="N7" s="178" t="s">
        <v>3</v>
      </c>
      <c r="O7" s="178" t="s">
        <v>2</v>
      </c>
      <c r="P7" s="176" t="s">
        <v>2</v>
      </c>
      <c r="Q7" s="176" t="s">
        <v>2</v>
      </c>
      <c r="R7" s="178" t="s">
        <v>3</v>
      </c>
      <c r="S7" s="178" t="s">
        <v>3</v>
      </c>
      <c r="T7" s="178">
        <v>0</v>
      </c>
      <c r="U7" s="178"/>
      <c r="V7" s="178"/>
      <c r="W7" s="178" t="s">
        <v>45</v>
      </c>
      <c r="X7" s="178"/>
      <c r="Y7" s="178" t="s">
        <v>2</v>
      </c>
      <c r="Z7" s="180"/>
    </row>
    <row r="8" spans="1:26" ht="14.25" x14ac:dyDescent="0.2">
      <c r="A8" s="174" t="s">
        <v>163</v>
      </c>
      <c r="B8" s="177" t="s">
        <v>180</v>
      </c>
      <c r="C8" s="176" t="s">
        <v>94</v>
      </c>
      <c r="D8" s="178">
        <v>12</v>
      </c>
      <c r="E8" s="178">
        <v>30</v>
      </c>
      <c r="F8" s="178">
        <v>275</v>
      </c>
      <c r="G8" s="178">
        <v>200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8" t="s">
        <v>3</v>
      </c>
      <c r="N8" s="178" t="s">
        <v>3</v>
      </c>
      <c r="O8" s="178" t="s">
        <v>3</v>
      </c>
      <c r="P8" s="176" t="s">
        <v>2</v>
      </c>
      <c r="Q8" s="176" t="s">
        <v>2</v>
      </c>
      <c r="R8" s="178" t="s">
        <v>3</v>
      </c>
      <c r="S8" s="178" t="s">
        <v>3</v>
      </c>
      <c r="T8" s="178">
        <v>0</v>
      </c>
      <c r="U8" s="178"/>
      <c r="V8" s="178"/>
      <c r="W8" s="178" t="s">
        <v>45</v>
      </c>
      <c r="X8" s="178"/>
      <c r="Y8" s="178" t="s">
        <v>2</v>
      </c>
      <c r="Z8" s="180"/>
    </row>
    <row r="9" spans="1:26" ht="14.25" x14ac:dyDescent="0.2">
      <c r="A9" s="174" t="s">
        <v>164</v>
      </c>
      <c r="B9" s="177" t="s">
        <v>181</v>
      </c>
      <c r="C9" s="176" t="s">
        <v>94</v>
      </c>
      <c r="D9" s="181">
        <v>4</v>
      </c>
      <c r="E9" s="178">
        <v>30</v>
      </c>
      <c r="F9" s="178">
        <v>300</v>
      </c>
      <c r="G9" s="178">
        <v>190</v>
      </c>
      <c r="H9" s="178">
        <v>5</v>
      </c>
      <c r="I9" s="178">
        <v>0</v>
      </c>
      <c r="J9" s="178">
        <v>1439</v>
      </c>
      <c r="K9" s="178">
        <v>0</v>
      </c>
      <c r="L9" s="178" t="s">
        <v>2</v>
      </c>
      <c r="M9" s="176" t="s">
        <v>2</v>
      </c>
      <c r="N9" s="178" t="s">
        <v>3</v>
      </c>
      <c r="O9" s="178" t="s">
        <v>3</v>
      </c>
      <c r="P9" s="176" t="s">
        <v>2</v>
      </c>
      <c r="Q9" s="176" t="s">
        <v>2</v>
      </c>
      <c r="R9" s="178" t="s">
        <v>3</v>
      </c>
      <c r="S9" s="178" t="s">
        <v>3</v>
      </c>
      <c r="T9" s="178">
        <v>0</v>
      </c>
      <c r="U9" s="178"/>
      <c r="V9" s="178"/>
      <c r="W9" s="178" t="s">
        <v>45</v>
      </c>
      <c r="X9" s="178"/>
      <c r="Y9" s="178" t="s">
        <v>2</v>
      </c>
      <c r="Z9" s="180"/>
    </row>
    <row r="10" spans="1:26" ht="14.25" x14ac:dyDescent="0.2">
      <c r="A10" s="174" t="s">
        <v>165</v>
      </c>
      <c r="B10" s="177" t="s">
        <v>180</v>
      </c>
      <c r="C10" s="176" t="s">
        <v>94</v>
      </c>
      <c r="D10" s="178">
        <v>24</v>
      </c>
      <c r="E10" s="178">
        <v>70</v>
      </c>
      <c r="F10" s="178">
        <v>120</v>
      </c>
      <c r="G10" s="178">
        <v>80</v>
      </c>
      <c r="H10" s="178">
        <v>5</v>
      </c>
      <c r="I10" s="178">
        <v>0</v>
      </c>
      <c r="J10" s="178">
        <v>1439</v>
      </c>
      <c r="K10" s="178">
        <v>0</v>
      </c>
      <c r="L10" s="178" t="s">
        <v>2</v>
      </c>
      <c r="M10" s="178" t="s">
        <v>3</v>
      </c>
      <c r="N10" s="178" t="s">
        <v>3</v>
      </c>
      <c r="O10" s="178" t="s">
        <v>3</v>
      </c>
      <c r="P10" s="176" t="s">
        <v>2</v>
      </c>
      <c r="Q10" s="178" t="s">
        <v>3</v>
      </c>
      <c r="R10" s="178" t="s">
        <v>3</v>
      </c>
      <c r="S10" s="178" t="s">
        <v>3</v>
      </c>
      <c r="T10" s="178">
        <v>0</v>
      </c>
      <c r="U10" s="178"/>
      <c r="V10" s="178"/>
      <c r="W10" s="178" t="s">
        <v>45</v>
      </c>
      <c r="X10" s="178"/>
      <c r="Y10" s="178" t="s">
        <v>2</v>
      </c>
      <c r="Z10" s="180"/>
    </row>
    <row r="11" spans="1:26" ht="14.25" x14ac:dyDescent="0.2">
      <c r="A11" s="174" t="s">
        <v>5</v>
      </c>
      <c r="B11" s="177" t="s">
        <v>180</v>
      </c>
      <c r="C11" s="176" t="s">
        <v>94</v>
      </c>
      <c r="D11" s="178">
        <v>8</v>
      </c>
      <c r="E11" s="179">
        <v>1</v>
      </c>
      <c r="F11" s="179">
        <v>3</v>
      </c>
      <c r="G11" s="179">
        <v>3</v>
      </c>
      <c r="H11" s="179">
        <v>1</v>
      </c>
      <c r="I11" s="178">
        <v>0</v>
      </c>
      <c r="J11" s="178">
        <v>1439</v>
      </c>
      <c r="K11" s="178">
        <v>0</v>
      </c>
      <c r="L11" s="178" t="s">
        <v>2</v>
      </c>
      <c r="M11" s="178" t="s">
        <v>3</v>
      </c>
      <c r="N11" s="178" t="s">
        <v>3</v>
      </c>
      <c r="O11" s="178" t="s">
        <v>2</v>
      </c>
      <c r="P11" s="178" t="s">
        <v>3</v>
      </c>
      <c r="Q11" s="178" t="s">
        <v>3</v>
      </c>
      <c r="R11" s="178" t="s">
        <v>3</v>
      </c>
      <c r="S11" s="178" t="s">
        <v>3</v>
      </c>
      <c r="T11" s="178">
        <v>0</v>
      </c>
      <c r="U11" s="178"/>
      <c r="V11" s="178"/>
      <c r="W11" s="178" t="s">
        <v>45</v>
      </c>
      <c r="X11" s="178"/>
      <c r="Y11" s="178" t="s">
        <v>2</v>
      </c>
      <c r="Z11" s="180"/>
    </row>
    <row r="12" spans="1:26" ht="14.25" x14ac:dyDescent="0.2">
      <c r="A12" s="174" t="s">
        <v>6</v>
      </c>
      <c r="B12" s="177" t="s">
        <v>180</v>
      </c>
      <c r="C12" s="176" t="s">
        <v>94</v>
      </c>
      <c r="D12" s="178">
        <v>7</v>
      </c>
      <c r="E12" s="179">
        <v>1</v>
      </c>
      <c r="F12" s="179">
        <v>3</v>
      </c>
      <c r="G12" s="179">
        <v>3</v>
      </c>
      <c r="H12" s="179">
        <v>1</v>
      </c>
      <c r="I12" s="178">
        <v>0</v>
      </c>
      <c r="J12" s="178">
        <v>1439</v>
      </c>
      <c r="K12" s="178">
        <v>0</v>
      </c>
      <c r="L12" s="178" t="s">
        <v>2</v>
      </c>
      <c r="M12" s="178" t="s">
        <v>3</v>
      </c>
      <c r="N12" s="178" t="s">
        <v>3</v>
      </c>
      <c r="O12" s="178" t="s">
        <v>2</v>
      </c>
      <c r="P12" s="178" t="s">
        <v>3</v>
      </c>
      <c r="Q12" s="178" t="s">
        <v>3</v>
      </c>
      <c r="R12" s="178" t="s">
        <v>3</v>
      </c>
      <c r="S12" s="178" t="s">
        <v>3</v>
      </c>
      <c r="T12" s="178">
        <v>0</v>
      </c>
      <c r="U12" s="178"/>
      <c r="V12" s="178"/>
      <c r="W12" s="178" t="s">
        <v>45</v>
      </c>
      <c r="X12" s="178"/>
      <c r="Y12" s="178" t="s">
        <v>2</v>
      </c>
      <c r="Z12" s="180"/>
    </row>
    <row r="13" spans="1:26" ht="14.25" x14ac:dyDescent="0.2">
      <c r="A13" s="174" t="s">
        <v>10</v>
      </c>
      <c r="B13" s="177" t="s">
        <v>182</v>
      </c>
      <c r="C13" s="176" t="s">
        <v>94</v>
      </c>
      <c r="D13" s="178">
        <v>48</v>
      </c>
      <c r="E13" s="178">
        <v>30</v>
      </c>
      <c r="F13" s="178">
        <v>275</v>
      </c>
      <c r="G13" s="178">
        <v>200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8" t="s">
        <v>3</v>
      </c>
      <c r="N13" s="178" t="s">
        <v>3</v>
      </c>
      <c r="O13" s="178" t="s">
        <v>3</v>
      </c>
      <c r="P13" s="176" t="s">
        <v>2</v>
      </c>
      <c r="Q13" s="178" t="s">
        <v>3</v>
      </c>
      <c r="R13" s="178" t="s">
        <v>3</v>
      </c>
      <c r="S13" s="178" t="s">
        <v>3</v>
      </c>
      <c r="T13" s="178">
        <v>0</v>
      </c>
      <c r="U13" s="178"/>
      <c r="V13" s="178"/>
      <c r="W13" s="178" t="s">
        <v>45</v>
      </c>
      <c r="X13" s="178"/>
      <c r="Y13" s="178" t="s">
        <v>2</v>
      </c>
      <c r="Z13" s="180"/>
    </row>
    <row r="14" spans="1:26" ht="14.25" x14ac:dyDescent="0.2">
      <c r="A14" s="174" t="s">
        <v>7</v>
      </c>
      <c r="B14" s="177" t="s">
        <v>180</v>
      </c>
      <c r="C14" s="176" t="s">
        <v>94</v>
      </c>
      <c r="D14" s="178">
        <v>11</v>
      </c>
      <c r="E14" s="178">
        <v>30</v>
      </c>
      <c r="F14" s="178">
        <v>250</v>
      </c>
      <c r="G14" s="178">
        <v>150</v>
      </c>
      <c r="H14" s="178">
        <v>5</v>
      </c>
      <c r="I14" s="178">
        <v>0</v>
      </c>
      <c r="J14" s="178">
        <v>1439</v>
      </c>
      <c r="K14" s="178">
        <v>0</v>
      </c>
      <c r="L14" s="178" t="s">
        <v>2</v>
      </c>
      <c r="M14" s="178" t="s">
        <v>3</v>
      </c>
      <c r="N14" s="178" t="s">
        <v>3</v>
      </c>
      <c r="O14" s="178" t="s">
        <v>3</v>
      </c>
      <c r="P14" s="176" t="s">
        <v>2</v>
      </c>
      <c r="Q14" s="176" t="s">
        <v>2</v>
      </c>
      <c r="R14" s="178" t="s">
        <v>3</v>
      </c>
      <c r="S14" s="178" t="s">
        <v>3</v>
      </c>
      <c r="T14" s="178">
        <v>0</v>
      </c>
      <c r="U14" s="178"/>
      <c r="V14" s="178"/>
      <c r="W14" s="178" t="s">
        <v>45</v>
      </c>
      <c r="X14" s="178"/>
      <c r="Y14" s="178" t="s">
        <v>2</v>
      </c>
      <c r="Z14" s="180"/>
    </row>
    <row r="15" spans="1:26" ht="14.25" x14ac:dyDescent="0.2">
      <c r="A15" s="174" t="s">
        <v>8</v>
      </c>
      <c r="B15" s="177" t="s">
        <v>180</v>
      </c>
      <c r="C15" s="176" t="s">
        <v>94</v>
      </c>
      <c r="D15" s="178">
        <v>14</v>
      </c>
      <c r="E15" s="178">
        <v>50</v>
      </c>
      <c r="F15" s="178">
        <v>100</v>
      </c>
      <c r="G15" s="178">
        <v>65</v>
      </c>
      <c r="H15" s="178">
        <v>5</v>
      </c>
      <c r="I15" s="178">
        <v>0</v>
      </c>
      <c r="J15" s="178">
        <v>1439</v>
      </c>
      <c r="K15" s="178">
        <v>0</v>
      </c>
      <c r="L15" s="178" t="s">
        <v>2</v>
      </c>
      <c r="M15" s="178" t="s">
        <v>3</v>
      </c>
      <c r="N15" s="178" t="s">
        <v>3</v>
      </c>
      <c r="O15" s="178" t="s">
        <v>3</v>
      </c>
      <c r="P15" s="176" t="s">
        <v>2</v>
      </c>
      <c r="Q15" s="178" t="s">
        <v>3</v>
      </c>
      <c r="R15" s="178" t="s">
        <v>3</v>
      </c>
      <c r="S15" s="178" t="s">
        <v>3</v>
      </c>
      <c r="T15" s="178">
        <v>0</v>
      </c>
      <c r="U15" s="178"/>
      <c r="V15" s="178"/>
      <c r="W15" s="178" t="s">
        <v>45</v>
      </c>
      <c r="X15" s="178"/>
      <c r="Y15" s="178" t="s">
        <v>2</v>
      </c>
      <c r="Z15" s="180"/>
    </row>
    <row r="16" spans="1:26" ht="14.25" x14ac:dyDescent="0.2">
      <c r="A16" s="174" t="s">
        <v>156</v>
      </c>
      <c r="B16" s="177" t="s">
        <v>180</v>
      </c>
      <c r="C16" s="176" t="s">
        <v>94</v>
      </c>
      <c r="D16" s="178">
        <v>16</v>
      </c>
      <c r="E16" s="178">
        <v>35</v>
      </c>
      <c r="F16" s="178">
        <v>50</v>
      </c>
      <c r="G16" s="178">
        <v>35</v>
      </c>
      <c r="H16" s="178">
        <v>5</v>
      </c>
      <c r="I16" s="178">
        <v>1</v>
      </c>
      <c r="J16" s="178">
        <v>1439</v>
      </c>
      <c r="K16" s="178">
        <v>30</v>
      </c>
      <c r="L16" s="178" t="s">
        <v>3</v>
      </c>
      <c r="M16" s="178" t="s">
        <v>3</v>
      </c>
      <c r="N16" s="178" t="s">
        <v>3</v>
      </c>
      <c r="O16" s="178" t="s">
        <v>3</v>
      </c>
      <c r="P16" s="176" t="s">
        <v>2</v>
      </c>
      <c r="Q16" s="178" t="s">
        <v>3</v>
      </c>
      <c r="R16" s="178" t="s">
        <v>3</v>
      </c>
      <c r="S16" s="178" t="s">
        <v>3</v>
      </c>
      <c r="T16" s="178">
        <v>0</v>
      </c>
      <c r="U16" s="178"/>
      <c r="V16" s="178"/>
      <c r="W16" s="178" t="s">
        <v>45</v>
      </c>
      <c r="X16" s="178"/>
      <c r="Y16" s="178" t="s">
        <v>2</v>
      </c>
      <c r="Z16" s="180"/>
    </row>
    <row r="17" spans="1:26" ht="14.25" x14ac:dyDescent="0.2">
      <c r="A17" s="174" t="s">
        <v>157</v>
      </c>
      <c r="B17" s="177" t="s">
        <v>181</v>
      </c>
      <c r="C17" s="176" t="s">
        <v>94</v>
      </c>
      <c r="D17" s="178">
        <v>47</v>
      </c>
      <c r="E17" s="178">
        <v>30</v>
      </c>
      <c r="F17" s="178">
        <v>130</v>
      </c>
      <c r="G17" s="178">
        <v>80</v>
      </c>
      <c r="H17" s="178">
        <v>5</v>
      </c>
      <c r="I17" s="178">
        <v>0</v>
      </c>
      <c r="J17" s="178">
        <v>1439</v>
      </c>
      <c r="K17" s="178">
        <v>0</v>
      </c>
      <c r="L17" s="178" t="s">
        <v>2</v>
      </c>
      <c r="M17" s="178" t="s">
        <v>3</v>
      </c>
      <c r="N17" s="178" t="s">
        <v>3</v>
      </c>
      <c r="O17" s="178" t="s">
        <v>3</v>
      </c>
      <c r="P17" s="176" t="s">
        <v>2</v>
      </c>
      <c r="Q17" s="178" t="s">
        <v>3</v>
      </c>
      <c r="R17" s="178" t="s">
        <v>2</v>
      </c>
      <c r="S17" s="178" t="s">
        <v>3</v>
      </c>
      <c r="T17" s="178">
        <v>0</v>
      </c>
      <c r="U17" s="178"/>
      <c r="V17" s="178"/>
      <c r="W17" s="178" t="s">
        <v>45</v>
      </c>
      <c r="X17" s="178"/>
      <c r="Y17" s="178" t="s">
        <v>2</v>
      </c>
      <c r="Z17" s="180"/>
    </row>
    <row r="18" spans="1:26" ht="14.25" x14ac:dyDescent="0.2">
      <c r="A18" s="174" t="s">
        <v>9</v>
      </c>
      <c r="B18" s="177" t="s">
        <v>180</v>
      </c>
      <c r="C18" s="176" t="s">
        <v>94</v>
      </c>
      <c r="D18" s="178">
        <v>15</v>
      </c>
      <c r="E18" s="178">
        <v>30</v>
      </c>
      <c r="F18" s="178">
        <v>70</v>
      </c>
      <c r="G18" s="178">
        <v>50</v>
      </c>
      <c r="H18" s="178">
        <v>5</v>
      </c>
      <c r="I18" s="178">
        <v>0</v>
      </c>
      <c r="J18" s="178">
        <v>1439</v>
      </c>
      <c r="K18" s="178">
        <v>0</v>
      </c>
      <c r="L18" s="178" t="s">
        <v>2</v>
      </c>
      <c r="M18" s="178" t="s">
        <v>3</v>
      </c>
      <c r="N18" s="178" t="s">
        <v>3</v>
      </c>
      <c r="O18" s="178" t="s">
        <v>3</v>
      </c>
      <c r="P18" s="176" t="s">
        <v>2</v>
      </c>
      <c r="Q18" s="178" t="s">
        <v>3</v>
      </c>
      <c r="R18" s="178" t="s">
        <v>3</v>
      </c>
      <c r="S18" s="178" t="s">
        <v>3</v>
      </c>
      <c r="T18" s="178">
        <v>0</v>
      </c>
      <c r="U18" s="178"/>
      <c r="V18" s="178"/>
      <c r="W18" s="178" t="s">
        <v>45</v>
      </c>
      <c r="X18" s="178"/>
      <c r="Y18" s="178" t="s">
        <v>2</v>
      </c>
      <c r="Z18" s="180"/>
    </row>
    <row r="19" spans="1:26" ht="14.25" x14ac:dyDescent="0.2">
      <c r="A19" s="174" t="s">
        <v>166</v>
      </c>
      <c r="B19" s="177" t="s">
        <v>180</v>
      </c>
      <c r="C19" s="176" t="s">
        <v>94</v>
      </c>
      <c r="D19" s="181">
        <v>21</v>
      </c>
      <c r="E19" s="178">
        <v>85</v>
      </c>
      <c r="F19" s="178">
        <v>140</v>
      </c>
      <c r="G19" s="178">
        <v>85</v>
      </c>
      <c r="H19" s="178">
        <v>5</v>
      </c>
      <c r="I19" s="178">
        <v>30</v>
      </c>
      <c r="J19" s="178">
        <v>1439</v>
      </c>
      <c r="K19" s="178">
        <v>1439</v>
      </c>
      <c r="L19" s="178" t="s">
        <v>3</v>
      </c>
      <c r="M19" s="178" t="s">
        <v>3</v>
      </c>
      <c r="N19" s="178" t="s">
        <v>3</v>
      </c>
      <c r="O19" s="178" t="s">
        <v>3</v>
      </c>
      <c r="P19" s="176" t="s">
        <v>2</v>
      </c>
      <c r="Q19" s="178" t="s">
        <v>3</v>
      </c>
      <c r="R19" s="178" t="s">
        <v>2</v>
      </c>
      <c r="S19" s="178" t="s">
        <v>3</v>
      </c>
      <c r="T19" s="178">
        <v>0</v>
      </c>
      <c r="U19" s="178"/>
      <c r="V19" s="178"/>
      <c r="W19" s="178" t="s">
        <v>45</v>
      </c>
      <c r="X19" s="178"/>
      <c r="Y19" s="178" t="s">
        <v>2</v>
      </c>
      <c r="Z19" s="180"/>
    </row>
    <row r="20" spans="1:26" ht="14.25" x14ac:dyDescent="0.2">
      <c r="A20" s="174" t="s">
        <v>172</v>
      </c>
      <c r="B20" s="182" t="s">
        <v>180</v>
      </c>
      <c r="C20" s="176" t="s">
        <v>94</v>
      </c>
      <c r="D20" s="178">
        <v>64</v>
      </c>
      <c r="E20" s="178">
        <v>90</v>
      </c>
      <c r="F20" s="186">
        <v>1000</v>
      </c>
      <c r="G20" s="178">
        <v>600</v>
      </c>
      <c r="H20" s="178">
        <v>10</v>
      </c>
      <c r="I20" s="178">
        <v>0</v>
      </c>
      <c r="J20" s="178">
        <v>120</v>
      </c>
      <c r="K20" s="178">
        <v>1</v>
      </c>
      <c r="L20" s="178" t="s">
        <v>3</v>
      </c>
      <c r="M20" s="178" t="s">
        <v>3</v>
      </c>
      <c r="N20" s="178" t="s">
        <v>3</v>
      </c>
      <c r="O20" s="178" t="s">
        <v>3</v>
      </c>
      <c r="P20" s="176" t="s">
        <v>2</v>
      </c>
      <c r="Q20" s="176" t="s">
        <v>2</v>
      </c>
      <c r="R20" s="178" t="s">
        <v>3</v>
      </c>
      <c r="S20" s="178" t="s">
        <v>3</v>
      </c>
      <c r="T20" s="178">
        <v>0</v>
      </c>
      <c r="U20" s="178"/>
      <c r="V20" s="178"/>
      <c r="W20" s="178" t="s">
        <v>324</v>
      </c>
      <c r="X20" s="178"/>
      <c r="Y20" s="178" t="s">
        <v>2</v>
      </c>
      <c r="Z20" s="180"/>
    </row>
    <row r="21" spans="1:26" ht="14.25" x14ac:dyDescent="0.2">
      <c r="A21" s="174" t="s">
        <v>334</v>
      </c>
      <c r="B21" s="188" t="s">
        <v>180</v>
      </c>
      <c r="C21" s="176" t="s">
        <v>94</v>
      </c>
      <c r="D21" s="178">
        <v>57</v>
      </c>
      <c r="E21" s="178">
        <v>1</v>
      </c>
      <c r="F21" s="178">
        <v>1</v>
      </c>
      <c r="G21" s="178">
        <v>1</v>
      </c>
      <c r="H21" s="178">
        <v>1</v>
      </c>
      <c r="I21" s="178">
        <v>10</v>
      </c>
      <c r="J21" s="178">
        <v>10</v>
      </c>
      <c r="K21" s="178">
        <v>10</v>
      </c>
      <c r="L21" s="178" t="s">
        <v>3</v>
      </c>
      <c r="M21" s="178" t="s">
        <v>3</v>
      </c>
      <c r="N21" s="178" t="s">
        <v>3</v>
      </c>
      <c r="O21" s="178" t="s">
        <v>3</v>
      </c>
      <c r="P21" s="178" t="s">
        <v>3</v>
      </c>
      <c r="Q21" s="178" t="s">
        <v>3</v>
      </c>
      <c r="R21" s="178" t="s">
        <v>3</v>
      </c>
      <c r="S21" s="178" t="s">
        <v>3</v>
      </c>
      <c r="T21" s="178">
        <v>0</v>
      </c>
      <c r="U21" s="178"/>
      <c r="V21" s="178"/>
      <c r="W21" s="178" t="s">
        <v>25</v>
      </c>
      <c r="X21" s="178"/>
      <c r="Y21" s="178" t="s">
        <v>2</v>
      </c>
      <c r="Z21" s="180"/>
    </row>
    <row r="22" spans="1:26" ht="14.25" x14ac:dyDescent="0.2">
      <c r="A22" s="174" t="s">
        <v>11</v>
      </c>
      <c r="B22" s="182" t="s">
        <v>180</v>
      </c>
      <c r="C22" s="176" t="s">
        <v>94</v>
      </c>
      <c r="D22" s="181">
        <v>9</v>
      </c>
      <c r="E22" s="179">
        <v>1</v>
      </c>
      <c r="F22" s="179">
        <v>1</v>
      </c>
      <c r="G22" s="179">
        <v>1</v>
      </c>
      <c r="H22" s="179">
        <v>1</v>
      </c>
      <c r="I22" s="178">
        <v>90</v>
      </c>
      <c r="J22" s="178">
        <v>180</v>
      </c>
      <c r="K22" s="178">
        <v>120</v>
      </c>
      <c r="L22" s="178" t="s">
        <v>3</v>
      </c>
      <c r="M22" s="178" t="s">
        <v>3</v>
      </c>
      <c r="N22" s="178" t="s">
        <v>3</v>
      </c>
      <c r="O22" s="178" t="s">
        <v>3</v>
      </c>
      <c r="P22" s="178" t="s">
        <v>3</v>
      </c>
      <c r="Q22" s="178" t="s">
        <v>3</v>
      </c>
      <c r="R22" s="178" t="s">
        <v>3</v>
      </c>
      <c r="S22" s="178" t="s">
        <v>3</v>
      </c>
      <c r="T22" s="178">
        <v>0</v>
      </c>
      <c r="U22" s="178"/>
      <c r="V22" s="178"/>
      <c r="W22" s="178" t="s">
        <v>25</v>
      </c>
      <c r="X22" s="178"/>
      <c r="Y22" s="178" t="s">
        <v>3</v>
      </c>
      <c r="Z22" s="180"/>
    </row>
    <row r="23" spans="1:26" ht="14.25" x14ac:dyDescent="0.2">
      <c r="A23" s="190" t="s">
        <v>12</v>
      </c>
      <c r="B23" s="191" t="s">
        <v>180</v>
      </c>
      <c r="C23" s="192" t="s">
        <v>94</v>
      </c>
      <c r="D23" s="195">
        <v>19</v>
      </c>
      <c r="E23" s="195">
        <v>1</v>
      </c>
      <c r="F23" s="195">
        <v>1</v>
      </c>
      <c r="G23" s="195">
        <v>1</v>
      </c>
      <c r="H23" s="195">
        <v>1</v>
      </c>
      <c r="I23" s="195">
        <v>60</v>
      </c>
      <c r="J23" s="195">
        <v>60</v>
      </c>
      <c r="K23" s="195">
        <v>60</v>
      </c>
      <c r="L23" s="195" t="s">
        <v>3</v>
      </c>
      <c r="M23" s="195" t="s">
        <v>3</v>
      </c>
      <c r="N23" s="195" t="s">
        <v>3</v>
      </c>
      <c r="O23" s="195" t="s">
        <v>3</v>
      </c>
      <c r="P23" s="195" t="s">
        <v>3</v>
      </c>
      <c r="Q23" s="195" t="s">
        <v>3</v>
      </c>
      <c r="R23" s="195" t="s">
        <v>3</v>
      </c>
      <c r="S23" s="195" t="s">
        <v>3</v>
      </c>
      <c r="T23" s="195">
        <v>0</v>
      </c>
      <c r="U23" s="195"/>
      <c r="V23" s="195"/>
      <c r="W23" s="195" t="s">
        <v>25</v>
      </c>
      <c r="X23" s="195"/>
      <c r="Y23" s="195" t="s">
        <v>2</v>
      </c>
      <c r="Z23" s="197"/>
    </row>
  </sheetData>
  <conditionalFormatting sqref="G10:H10 G6:H6 G4:L5 G7:L9 G2:K2 N2 D3:M3 X2:Y2 O3:Q3 G11:K17 L11:L15 D13:E17 F4:F17 D18:K20 D22:K23 M5 M9 P20:Q20 L17:L18 P14:Q14 O11:O12 P8:Q9 O7:Q7 P6:Q6 O5:Q5 P4:Q4 P15:P19 R17 R19 P10 P13 U2:V20 U22:Z23 Z3:Z20 W3:X18 X19:X20">
    <cfRule type="expression" dxfId="232" priority="37" stopIfTrue="1">
      <formula>MOD(ROW(#REF!),2)=0</formula>
    </cfRule>
  </conditionalFormatting>
  <conditionalFormatting sqref="A1:B1 E12 O2 R2:S2 D4:E11">
    <cfRule type="expression" dxfId="231" priority="36" stopIfTrue="1">
      <formula>MOD(ROW(#REF!),2)=0</formula>
    </cfRule>
  </conditionalFormatting>
  <conditionalFormatting sqref="D2:E2 M2 P2">
    <cfRule type="expression" dxfId="230" priority="35" stopIfTrue="1">
      <formula>MOD(ROW(#REF!),2)=0</formula>
    </cfRule>
  </conditionalFormatting>
  <conditionalFormatting sqref="Z2">
    <cfRule type="expression" dxfId="229" priority="34" stopIfTrue="1">
      <formula>MOD(ROW(#REF!),2)=0</formula>
    </cfRule>
  </conditionalFormatting>
  <conditionalFormatting sqref="W2">
    <cfRule type="expression" dxfId="228" priority="33" stopIfTrue="1">
      <formula>MOD(ROW(#REF!),2)=0</formula>
    </cfRule>
  </conditionalFormatting>
  <conditionalFormatting sqref="T2">
    <cfRule type="expression" dxfId="227" priority="32" stopIfTrue="1">
      <formula>MOD(ROW(#REF!),2)=0</formula>
    </cfRule>
  </conditionalFormatting>
  <conditionalFormatting sqref="Q2">
    <cfRule type="expression" dxfId="226" priority="31" stopIfTrue="1">
      <formula>MOD(ROW(#REF!),2)=0</formula>
    </cfRule>
  </conditionalFormatting>
  <conditionalFormatting sqref="F2">
    <cfRule type="expression" dxfId="225" priority="29" stopIfTrue="1">
      <formula>MOD(ROW(#REF!),2)=0</formula>
    </cfRule>
  </conditionalFormatting>
  <conditionalFormatting sqref="C1">
    <cfRule type="expression" dxfId="224" priority="28" stopIfTrue="1">
      <formula>MOD(ROW(#REF!),2)=0</formula>
    </cfRule>
  </conditionalFormatting>
  <conditionalFormatting sqref="I10:L10">
    <cfRule type="expression" dxfId="223" priority="26" stopIfTrue="1">
      <formula>MOD(ROW(#REF!),2)=0</formula>
    </cfRule>
  </conditionalFormatting>
  <conditionalFormatting sqref="I6:L6">
    <cfRule type="expression" dxfId="222" priority="25" stopIfTrue="1">
      <formula>MOD(ROW(#REF!),2)=0</formula>
    </cfRule>
  </conditionalFormatting>
  <conditionalFormatting sqref="M4">
    <cfRule type="expression" dxfId="221" priority="23" stopIfTrue="1">
      <formula>MOD(ROW(#REF!),2)=0</formula>
    </cfRule>
  </conditionalFormatting>
  <conditionalFormatting sqref="M6:M8">
    <cfRule type="expression" dxfId="220" priority="22" stopIfTrue="1">
      <formula>MOD(ROW(#REF!),2)=0</formula>
    </cfRule>
  </conditionalFormatting>
  <conditionalFormatting sqref="M10:M23">
    <cfRule type="expression" dxfId="219" priority="21" stopIfTrue="1">
      <formula>MOD(ROW(#REF!),2)=0</formula>
    </cfRule>
  </conditionalFormatting>
  <conditionalFormatting sqref="L16">
    <cfRule type="expression" dxfId="218" priority="20" stopIfTrue="1">
      <formula>MOD(ROW(#REF!),2)=0</formula>
    </cfRule>
  </conditionalFormatting>
  <conditionalFormatting sqref="L19:L23">
    <cfRule type="expression" dxfId="217" priority="19" stopIfTrue="1">
      <formula>MOD(ROW(#REF!),2)=0</formula>
    </cfRule>
  </conditionalFormatting>
  <conditionalFormatting sqref="N3:N23">
    <cfRule type="expression" dxfId="216" priority="18" stopIfTrue="1">
      <formula>MOD(ROW(#REF!),2)=0</formula>
    </cfRule>
  </conditionalFormatting>
  <conditionalFormatting sqref="O13:O23">
    <cfRule type="expression" dxfId="215" priority="17" stopIfTrue="1">
      <formula>MOD(ROW(#REF!),2)=0</formula>
    </cfRule>
  </conditionalFormatting>
  <conditionalFormatting sqref="O8:O10">
    <cfRule type="expression" dxfId="214" priority="16" stopIfTrue="1">
      <formula>MOD(ROW(#REF!),2)=0</formula>
    </cfRule>
  </conditionalFormatting>
  <conditionalFormatting sqref="O6">
    <cfRule type="expression" dxfId="213" priority="15" stopIfTrue="1">
      <formula>MOD(ROW(#REF!),2)=0</formula>
    </cfRule>
  </conditionalFormatting>
  <conditionalFormatting sqref="O4">
    <cfRule type="expression" dxfId="212" priority="14" stopIfTrue="1">
      <formula>MOD(ROW(#REF!),2)=0</formula>
    </cfRule>
  </conditionalFormatting>
  <conditionalFormatting sqref="P11:P12">
    <cfRule type="expression" dxfId="211" priority="13" stopIfTrue="1">
      <formula>MOD(ROW(#REF!),2)=0</formula>
    </cfRule>
  </conditionalFormatting>
  <conditionalFormatting sqref="P21:P23">
    <cfRule type="expression" dxfId="210" priority="12" stopIfTrue="1">
      <formula>MOD(ROW(#REF!),2)=0</formula>
    </cfRule>
  </conditionalFormatting>
  <conditionalFormatting sqref="Q21:R23">
    <cfRule type="expression" dxfId="209" priority="11" stopIfTrue="1">
      <formula>MOD(ROW(#REF!),2)=0</formula>
    </cfRule>
  </conditionalFormatting>
  <conditionalFormatting sqref="R20">
    <cfRule type="expression" dxfId="208" priority="10" stopIfTrue="1">
      <formula>MOD(ROW(#REF!),2)=0</formula>
    </cfRule>
  </conditionalFormatting>
  <conditionalFormatting sqref="Q15:Q19">
    <cfRule type="expression" dxfId="207" priority="9" stopIfTrue="1">
      <formula>MOD(ROW(#REF!),2)=0</formula>
    </cfRule>
  </conditionalFormatting>
  <conditionalFormatting sqref="R18">
    <cfRule type="expression" dxfId="206" priority="8" stopIfTrue="1">
      <formula>MOD(ROW(#REF!),2)=0</formula>
    </cfRule>
  </conditionalFormatting>
  <conditionalFormatting sqref="R3:R16">
    <cfRule type="expression" dxfId="205" priority="7" stopIfTrue="1">
      <formula>MOD(ROW(#REF!),2)=0</formula>
    </cfRule>
  </conditionalFormatting>
  <conditionalFormatting sqref="Q10:Q13">
    <cfRule type="expression" dxfId="204" priority="6" stopIfTrue="1">
      <formula>MOD(ROW(#REF!),2)=0</formula>
    </cfRule>
  </conditionalFormatting>
  <conditionalFormatting sqref="T3:T23">
    <cfRule type="expression" dxfId="203" priority="5" stopIfTrue="1">
      <formula>MOD(ROW(#REF!),2)=0</formula>
    </cfRule>
  </conditionalFormatting>
  <conditionalFormatting sqref="S3:S23">
    <cfRule type="expression" dxfId="202" priority="4" stopIfTrue="1">
      <formula>MOD(ROW(#REF!),2)=0</formula>
    </cfRule>
  </conditionalFormatting>
  <conditionalFormatting sqref="Y3:Y21">
    <cfRule type="expression" dxfId="201" priority="3" stopIfTrue="1">
      <formula>MOD(ROW(#REF!),2)=0</formula>
    </cfRule>
  </conditionalFormatting>
  <conditionalFormatting sqref="L2">
    <cfRule type="expression" dxfId="200" priority="2" stopIfTrue="1">
      <formula>MOD(ROW(#REF!),2)=0</formula>
    </cfRule>
  </conditionalFormatting>
  <conditionalFormatting sqref="W19:W20">
    <cfRule type="expression" dxfId="199" priority="1" stopIfTrue="1">
      <formula>MOD(ROW(#REF!),2)=0</formula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AA8A9DC6-2323-4217-A2DD-25198A427A49}">
            <xm:f>MOD(ROW('OM Table'!#REF!),2)=0</xm:f>
            <x14:dxf>
              <fill>
                <patternFill>
                  <bgColor indexed="11"/>
                </patternFill>
              </fill>
            </x14:dxf>
          </x14:cfRule>
          <xm:sqref>D21:K21 U21:X21 Z21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Z27"/>
  <sheetViews>
    <sheetView workbookViewId="0">
      <selection activeCell="I16" sqref="I16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6.85546875" style="1" customWidth="1"/>
    <col min="4" max="4" width="9.42578125" customWidth="1"/>
    <col min="5" max="5" width="10" customWidth="1"/>
    <col min="7" max="7" width="13" customWidth="1"/>
    <col min="8" max="8" width="13.85546875" customWidth="1"/>
    <col min="9" max="9" width="17" customWidth="1"/>
    <col min="10" max="10" width="13.7109375" customWidth="1"/>
    <col min="11" max="11" width="12.85546875" customWidth="1"/>
    <col min="13" max="13" width="15.28515625" customWidth="1"/>
    <col min="14" max="14" width="14.7109375" customWidth="1"/>
    <col min="15" max="16" width="13.28515625" customWidth="1"/>
    <col min="17" max="17" width="22.42578125" bestFit="1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177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40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" thickTop="1" x14ac:dyDescent="0.2">
      <c r="A3" s="168" t="s">
        <v>1</v>
      </c>
      <c r="B3" s="169" t="s">
        <v>180</v>
      </c>
      <c r="C3" s="170" t="s">
        <v>94</v>
      </c>
      <c r="D3" s="172">
        <v>5</v>
      </c>
      <c r="E3" s="172">
        <v>30</v>
      </c>
      <c r="F3" s="172">
        <v>275</v>
      </c>
      <c r="G3" s="172">
        <v>160</v>
      </c>
      <c r="H3" s="172">
        <v>5</v>
      </c>
      <c r="I3" s="172">
        <v>0</v>
      </c>
      <c r="J3" s="172">
        <v>1439</v>
      </c>
      <c r="K3" s="172">
        <v>0</v>
      </c>
      <c r="L3" s="172" t="s">
        <v>2</v>
      </c>
      <c r="M3" s="170" t="s">
        <v>2</v>
      </c>
      <c r="N3" s="172" t="s">
        <v>2</v>
      </c>
      <c r="O3" s="172" t="s">
        <v>3</v>
      </c>
      <c r="P3" s="170" t="s">
        <v>2</v>
      </c>
      <c r="Q3" s="170" t="s">
        <v>2</v>
      </c>
      <c r="R3" s="178" t="s">
        <v>3</v>
      </c>
      <c r="S3" s="172" t="s">
        <v>2</v>
      </c>
      <c r="T3" s="178">
        <v>0</v>
      </c>
      <c r="U3" s="172"/>
      <c r="V3" s="172"/>
      <c r="W3" s="172" t="s">
        <v>45</v>
      </c>
      <c r="X3" s="172"/>
      <c r="Y3" s="176" t="s">
        <v>2</v>
      </c>
      <c r="Z3" s="173"/>
    </row>
    <row r="4" spans="1:26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275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8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3</v>
      </c>
      <c r="T4" s="178">
        <v>0</v>
      </c>
      <c r="U4" s="178"/>
      <c r="V4" s="178"/>
      <c r="W4" s="178" t="s">
        <v>45</v>
      </c>
      <c r="X4" s="178"/>
      <c r="Y4" s="176" t="s">
        <v>2</v>
      </c>
      <c r="Z4" s="180"/>
    </row>
    <row r="5" spans="1:26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300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2</v>
      </c>
      <c r="O5" s="178" t="s">
        <v>3</v>
      </c>
      <c r="P5" s="176" t="s">
        <v>2</v>
      </c>
      <c r="Q5" s="176" t="s">
        <v>2</v>
      </c>
      <c r="R5" s="178" t="s">
        <v>3</v>
      </c>
      <c r="S5" s="178" t="s">
        <v>2</v>
      </c>
      <c r="T5" s="178">
        <v>0</v>
      </c>
      <c r="U5" s="178"/>
      <c r="V5" s="178"/>
      <c r="W5" s="178" t="s">
        <v>45</v>
      </c>
      <c r="X5" s="178"/>
      <c r="Y5" s="176" t="s">
        <v>2</v>
      </c>
      <c r="Z5" s="180"/>
    </row>
    <row r="6" spans="1:26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300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3</v>
      </c>
      <c r="T6" s="178">
        <v>0</v>
      </c>
      <c r="U6" s="178"/>
      <c r="V6" s="178"/>
      <c r="W6" s="178" t="s">
        <v>45</v>
      </c>
      <c r="X6" s="178"/>
      <c r="Y6" s="176" t="s">
        <v>2</v>
      </c>
      <c r="Z6" s="180"/>
    </row>
    <row r="7" spans="1:26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300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8" t="s">
        <v>3</v>
      </c>
      <c r="N7" s="178" t="s">
        <v>2</v>
      </c>
      <c r="O7" s="178" t="s">
        <v>3</v>
      </c>
      <c r="P7" s="176" t="s">
        <v>2</v>
      </c>
      <c r="Q7" s="176" t="s">
        <v>2</v>
      </c>
      <c r="R7" s="178" t="s">
        <v>3</v>
      </c>
      <c r="S7" s="178" t="s">
        <v>2</v>
      </c>
      <c r="T7" s="178">
        <v>0</v>
      </c>
      <c r="U7" s="178"/>
      <c r="V7" s="178"/>
      <c r="W7" s="178" t="s">
        <v>45</v>
      </c>
      <c r="X7" s="178"/>
      <c r="Y7" s="176" t="s">
        <v>2</v>
      </c>
      <c r="Z7" s="180"/>
    </row>
    <row r="8" spans="1:26" ht="14.25" x14ac:dyDescent="0.2">
      <c r="A8" s="174" t="s">
        <v>163</v>
      </c>
      <c r="B8" s="177" t="s">
        <v>180</v>
      </c>
      <c r="C8" s="176" t="s">
        <v>94</v>
      </c>
      <c r="D8" s="178">
        <v>12</v>
      </c>
      <c r="E8" s="178">
        <v>30</v>
      </c>
      <c r="F8" s="178">
        <v>275</v>
      </c>
      <c r="G8" s="178">
        <v>200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8" t="s">
        <v>3</v>
      </c>
      <c r="N8" s="178" t="s">
        <v>3</v>
      </c>
      <c r="O8" s="178" t="s">
        <v>3</v>
      </c>
      <c r="P8" s="176" t="s">
        <v>2</v>
      </c>
      <c r="Q8" s="176" t="s">
        <v>2</v>
      </c>
      <c r="R8" s="178" t="s">
        <v>3</v>
      </c>
      <c r="S8" s="178" t="s">
        <v>3</v>
      </c>
      <c r="T8" s="178">
        <v>0</v>
      </c>
      <c r="U8" s="178"/>
      <c r="V8" s="178"/>
      <c r="W8" s="178" t="s">
        <v>45</v>
      </c>
      <c r="X8" s="178"/>
      <c r="Y8" s="176" t="s">
        <v>2</v>
      </c>
      <c r="Z8" s="180"/>
    </row>
    <row r="9" spans="1:26" ht="14.25" x14ac:dyDescent="0.2">
      <c r="A9" s="174" t="s">
        <v>164</v>
      </c>
      <c r="B9" s="177" t="s">
        <v>181</v>
      </c>
      <c r="C9" s="176" t="s">
        <v>94</v>
      </c>
      <c r="D9" s="178">
        <v>4</v>
      </c>
      <c r="E9" s="178">
        <v>30</v>
      </c>
      <c r="F9" s="178">
        <v>300</v>
      </c>
      <c r="G9" s="178">
        <v>190</v>
      </c>
      <c r="H9" s="178">
        <v>5</v>
      </c>
      <c r="I9" s="178">
        <v>0</v>
      </c>
      <c r="J9" s="178">
        <v>1439</v>
      </c>
      <c r="K9" s="178">
        <v>0</v>
      </c>
      <c r="L9" s="178" t="s">
        <v>2</v>
      </c>
      <c r="M9" s="176" t="s">
        <v>2</v>
      </c>
      <c r="N9" s="178" t="s">
        <v>3</v>
      </c>
      <c r="O9" s="178" t="s">
        <v>3</v>
      </c>
      <c r="P9" s="176" t="s">
        <v>2</v>
      </c>
      <c r="Q9" s="176" t="s">
        <v>2</v>
      </c>
      <c r="R9" s="178" t="s">
        <v>3</v>
      </c>
      <c r="S9" s="178" t="s">
        <v>3</v>
      </c>
      <c r="T9" s="178">
        <v>0</v>
      </c>
      <c r="U9" s="178"/>
      <c r="V9" s="178"/>
      <c r="W9" s="178" t="s">
        <v>45</v>
      </c>
      <c r="X9" s="178"/>
      <c r="Y9" s="176" t="s">
        <v>2</v>
      </c>
      <c r="Z9" s="180"/>
    </row>
    <row r="10" spans="1:26" ht="14.25" x14ac:dyDescent="0.2">
      <c r="A10" s="174" t="s">
        <v>165</v>
      </c>
      <c r="B10" s="177" t="s">
        <v>180</v>
      </c>
      <c r="C10" s="176" t="s">
        <v>94</v>
      </c>
      <c r="D10" s="178">
        <v>24</v>
      </c>
      <c r="E10" s="178">
        <v>70</v>
      </c>
      <c r="F10" s="178">
        <v>120</v>
      </c>
      <c r="G10" s="178">
        <v>80</v>
      </c>
      <c r="H10" s="178">
        <v>5</v>
      </c>
      <c r="I10" s="178">
        <v>0</v>
      </c>
      <c r="J10" s="178">
        <v>1439</v>
      </c>
      <c r="K10" s="178">
        <v>0</v>
      </c>
      <c r="L10" s="178" t="s">
        <v>2</v>
      </c>
      <c r="M10" s="178" t="s">
        <v>3</v>
      </c>
      <c r="N10" s="178" t="s">
        <v>3</v>
      </c>
      <c r="O10" s="178" t="s">
        <v>3</v>
      </c>
      <c r="P10" s="176" t="s">
        <v>2</v>
      </c>
      <c r="Q10" s="178" t="s">
        <v>3</v>
      </c>
      <c r="R10" s="178" t="s">
        <v>3</v>
      </c>
      <c r="S10" s="178" t="s">
        <v>3</v>
      </c>
      <c r="T10" s="178">
        <v>0</v>
      </c>
      <c r="U10" s="178"/>
      <c r="V10" s="178"/>
      <c r="W10" s="178" t="s">
        <v>45</v>
      </c>
      <c r="X10" s="178"/>
      <c r="Y10" s="176" t="s">
        <v>2</v>
      </c>
      <c r="Z10" s="180"/>
    </row>
    <row r="11" spans="1:26" ht="14.25" x14ac:dyDescent="0.2">
      <c r="A11" s="174" t="s">
        <v>5</v>
      </c>
      <c r="B11" s="177" t="s">
        <v>180</v>
      </c>
      <c r="C11" s="176" t="s">
        <v>94</v>
      </c>
      <c r="D11" s="178">
        <v>8</v>
      </c>
      <c r="E11" s="179">
        <v>1</v>
      </c>
      <c r="F11" s="179">
        <v>3</v>
      </c>
      <c r="G11" s="179">
        <v>3</v>
      </c>
      <c r="H11" s="179">
        <v>1</v>
      </c>
      <c r="I11" s="178">
        <v>0</v>
      </c>
      <c r="J11" s="178">
        <v>1439</v>
      </c>
      <c r="K11" s="178">
        <v>0</v>
      </c>
      <c r="L11" s="178" t="s">
        <v>2</v>
      </c>
      <c r="M11" s="178" t="s">
        <v>3</v>
      </c>
      <c r="N11" s="178" t="s">
        <v>3</v>
      </c>
      <c r="O11" s="178" t="s">
        <v>3</v>
      </c>
      <c r="P11" s="178" t="s">
        <v>3</v>
      </c>
      <c r="Q11" s="178" t="s">
        <v>3</v>
      </c>
      <c r="R11" s="178" t="s">
        <v>3</v>
      </c>
      <c r="S11" s="178" t="s">
        <v>3</v>
      </c>
      <c r="T11" s="178">
        <v>0</v>
      </c>
      <c r="U11" s="178"/>
      <c r="V11" s="178"/>
      <c r="W11" s="178" t="s">
        <v>45</v>
      </c>
      <c r="X11" s="178"/>
      <c r="Y11" s="176" t="s">
        <v>2</v>
      </c>
      <c r="Z11" s="180"/>
    </row>
    <row r="12" spans="1:26" ht="14.25" x14ac:dyDescent="0.2">
      <c r="A12" s="174" t="s">
        <v>6</v>
      </c>
      <c r="B12" s="177" t="s">
        <v>180</v>
      </c>
      <c r="C12" s="176" t="s">
        <v>94</v>
      </c>
      <c r="D12" s="178">
        <v>7</v>
      </c>
      <c r="E12" s="179">
        <v>1</v>
      </c>
      <c r="F12" s="179">
        <v>3</v>
      </c>
      <c r="G12" s="179">
        <v>3</v>
      </c>
      <c r="H12" s="179">
        <v>1</v>
      </c>
      <c r="I12" s="178">
        <v>0</v>
      </c>
      <c r="J12" s="178">
        <v>1439</v>
      </c>
      <c r="K12" s="178">
        <v>0</v>
      </c>
      <c r="L12" s="178" t="s">
        <v>2</v>
      </c>
      <c r="M12" s="178" t="s">
        <v>3</v>
      </c>
      <c r="N12" s="178" t="s">
        <v>3</v>
      </c>
      <c r="O12" s="178" t="s">
        <v>3</v>
      </c>
      <c r="P12" s="178" t="s">
        <v>3</v>
      </c>
      <c r="Q12" s="178" t="s">
        <v>3</v>
      </c>
      <c r="R12" s="178" t="s">
        <v>3</v>
      </c>
      <c r="S12" s="178" t="s">
        <v>3</v>
      </c>
      <c r="T12" s="178">
        <v>0</v>
      </c>
      <c r="U12" s="178"/>
      <c r="V12" s="178"/>
      <c r="W12" s="178" t="s">
        <v>45</v>
      </c>
      <c r="X12" s="178"/>
      <c r="Y12" s="176" t="s">
        <v>2</v>
      </c>
      <c r="Z12" s="180"/>
    </row>
    <row r="13" spans="1:26" ht="14.25" x14ac:dyDescent="0.2">
      <c r="A13" s="174" t="s">
        <v>10</v>
      </c>
      <c r="B13" s="177" t="s">
        <v>182</v>
      </c>
      <c r="C13" s="176" t="s">
        <v>94</v>
      </c>
      <c r="D13" s="178">
        <v>48</v>
      </c>
      <c r="E13" s="178">
        <v>30</v>
      </c>
      <c r="F13" s="178">
        <v>275</v>
      </c>
      <c r="G13" s="178">
        <v>200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8" t="s">
        <v>3</v>
      </c>
      <c r="N13" s="178" t="s">
        <v>3</v>
      </c>
      <c r="O13" s="178" t="s">
        <v>3</v>
      </c>
      <c r="P13" s="176" t="s">
        <v>2</v>
      </c>
      <c r="Q13" s="178" t="s">
        <v>3</v>
      </c>
      <c r="R13" s="178" t="s">
        <v>3</v>
      </c>
      <c r="S13" s="178" t="s">
        <v>3</v>
      </c>
      <c r="T13" s="178">
        <v>0</v>
      </c>
      <c r="U13" s="178"/>
      <c r="V13" s="178"/>
      <c r="W13" s="178" t="s">
        <v>45</v>
      </c>
      <c r="X13" s="178"/>
      <c r="Y13" s="176" t="s">
        <v>2</v>
      </c>
      <c r="Z13" s="180"/>
    </row>
    <row r="14" spans="1:26" ht="14.25" x14ac:dyDescent="0.2">
      <c r="A14" s="174" t="s">
        <v>7</v>
      </c>
      <c r="B14" s="177" t="s">
        <v>180</v>
      </c>
      <c r="C14" s="176" t="s">
        <v>94</v>
      </c>
      <c r="D14" s="178">
        <v>11</v>
      </c>
      <c r="E14" s="178">
        <v>30</v>
      </c>
      <c r="F14" s="178">
        <v>250</v>
      </c>
      <c r="G14" s="178">
        <v>150</v>
      </c>
      <c r="H14" s="178">
        <v>5</v>
      </c>
      <c r="I14" s="178">
        <v>0</v>
      </c>
      <c r="J14" s="178">
        <v>1439</v>
      </c>
      <c r="K14" s="178">
        <v>0</v>
      </c>
      <c r="L14" s="178" t="s">
        <v>2</v>
      </c>
      <c r="M14" s="178" t="s">
        <v>3</v>
      </c>
      <c r="N14" s="178" t="s">
        <v>3</v>
      </c>
      <c r="O14" s="178" t="s">
        <v>3</v>
      </c>
      <c r="P14" s="176" t="s">
        <v>2</v>
      </c>
      <c r="Q14" s="176" t="s">
        <v>2</v>
      </c>
      <c r="R14" s="178" t="s">
        <v>3</v>
      </c>
      <c r="S14" s="178" t="s">
        <v>3</v>
      </c>
      <c r="T14" s="178">
        <v>0</v>
      </c>
      <c r="U14" s="178"/>
      <c r="V14" s="178"/>
      <c r="W14" s="178" t="s">
        <v>45</v>
      </c>
      <c r="X14" s="178"/>
      <c r="Y14" s="176" t="s">
        <v>2</v>
      </c>
      <c r="Z14" s="180"/>
    </row>
    <row r="15" spans="1:26" ht="14.25" x14ac:dyDescent="0.2">
      <c r="A15" s="174" t="s">
        <v>8</v>
      </c>
      <c r="B15" s="177" t="s">
        <v>180</v>
      </c>
      <c r="C15" s="176" t="s">
        <v>94</v>
      </c>
      <c r="D15" s="178">
        <v>14</v>
      </c>
      <c r="E15" s="178">
        <v>50</v>
      </c>
      <c r="F15" s="178">
        <v>100</v>
      </c>
      <c r="G15" s="178">
        <v>65</v>
      </c>
      <c r="H15" s="178">
        <v>5</v>
      </c>
      <c r="I15" s="178">
        <v>0</v>
      </c>
      <c r="J15" s="178">
        <v>1439</v>
      </c>
      <c r="K15" s="178">
        <v>0</v>
      </c>
      <c r="L15" s="178" t="s">
        <v>2</v>
      </c>
      <c r="M15" s="178" t="s">
        <v>3</v>
      </c>
      <c r="N15" s="178" t="s">
        <v>2</v>
      </c>
      <c r="O15" s="178" t="s">
        <v>3</v>
      </c>
      <c r="P15" s="176" t="s">
        <v>2</v>
      </c>
      <c r="Q15" s="178" t="s">
        <v>3</v>
      </c>
      <c r="R15" s="178" t="s">
        <v>3</v>
      </c>
      <c r="S15" s="178" t="s">
        <v>2</v>
      </c>
      <c r="T15" s="178">
        <v>0</v>
      </c>
      <c r="U15" s="178"/>
      <c r="V15" s="178"/>
      <c r="W15" s="178" t="s">
        <v>45</v>
      </c>
      <c r="X15" s="178"/>
      <c r="Y15" s="176" t="s">
        <v>2</v>
      </c>
      <c r="Z15" s="180"/>
    </row>
    <row r="16" spans="1:26" ht="14.25" x14ac:dyDescent="0.2">
      <c r="A16" s="174" t="s">
        <v>155</v>
      </c>
      <c r="B16" s="177" t="s">
        <v>183</v>
      </c>
      <c r="C16" s="176" t="s">
        <v>94</v>
      </c>
      <c r="D16" s="178">
        <v>10</v>
      </c>
      <c r="E16" s="178">
        <v>3</v>
      </c>
      <c r="F16" s="178">
        <v>60</v>
      </c>
      <c r="G16" s="178">
        <v>30</v>
      </c>
      <c r="H16" s="178">
        <v>5</v>
      </c>
      <c r="I16" s="178">
        <v>0</v>
      </c>
      <c r="J16" s="178">
        <v>1439</v>
      </c>
      <c r="K16" s="178">
        <v>0</v>
      </c>
      <c r="L16" s="178" t="s">
        <v>2</v>
      </c>
      <c r="M16" s="178" t="s">
        <v>3</v>
      </c>
      <c r="N16" s="178" t="s">
        <v>3</v>
      </c>
      <c r="O16" s="178" t="s">
        <v>3</v>
      </c>
      <c r="P16" s="176" t="s">
        <v>2</v>
      </c>
      <c r="Q16" s="178" t="s">
        <v>3</v>
      </c>
      <c r="R16" s="178" t="s">
        <v>3</v>
      </c>
      <c r="S16" s="178" t="s">
        <v>3</v>
      </c>
      <c r="T16" s="178">
        <v>0</v>
      </c>
      <c r="U16" s="178"/>
      <c r="V16" s="178"/>
      <c r="W16" s="178" t="s">
        <v>45</v>
      </c>
      <c r="X16" s="178"/>
      <c r="Y16" s="176" t="s">
        <v>2</v>
      </c>
      <c r="Z16" s="180"/>
    </row>
    <row r="17" spans="1:26" ht="14.25" x14ac:dyDescent="0.2">
      <c r="A17" s="174" t="s">
        <v>157</v>
      </c>
      <c r="B17" s="177" t="s">
        <v>181</v>
      </c>
      <c r="C17" s="176" t="s">
        <v>94</v>
      </c>
      <c r="D17" s="178">
        <v>47</v>
      </c>
      <c r="E17" s="178">
        <v>30</v>
      </c>
      <c r="F17" s="178">
        <v>130</v>
      </c>
      <c r="G17" s="178">
        <v>80</v>
      </c>
      <c r="H17" s="178">
        <v>5</v>
      </c>
      <c r="I17" s="178">
        <v>0</v>
      </c>
      <c r="J17" s="178">
        <v>1439</v>
      </c>
      <c r="K17" s="178">
        <v>0</v>
      </c>
      <c r="L17" s="178" t="s">
        <v>2</v>
      </c>
      <c r="M17" s="178" t="s">
        <v>3</v>
      </c>
      <c r="N17" s="178" t="s">
        <v>3</v>
      </c>
      <c r="O17" s="178" t="s">
        <v>3</v>
      </c>
      <c r="P17" s="176" t="s">
        <v>2</v>
      </c>
      <c r="Q17" s="178" t="s">
        <v>3</v>
      </c>
      <c r="R17" s="178" t="s">
        <v>2</v>
      </c>
      <c r="S17" s="178" t="s">
        <v>3</v>
      </c>
      <c r="T17" s="178">
        <v>0</v>
      </c>
      <c r="U17" s="178"/>
      <c r="V17" s="178"/>
      <c r="W17" s="178" t="s">
        <v>45</v>
      </c>
      <c r="X17" s="178"/>
      <c r="Y17" s="176" t="s">
        <v>2</v>
      </c>
      <c r="Z17" s="180"/>
    </row>
    <row r="18" spans="1:26" ht="14.25" x14ac:dyDescent="0.2">
      <c r="A18" s="174" t="s">
        <v>9</v>
      </c>
      <c r="B18" s="177" t="s">
        <v>180</v>
      </c>
      <c r="C18" s="176" t="s">
        <v>94</v>
      </c>
      <c r="D18" s="178">
        <v>15</v>
      </c>
      <c r="E18" s="178">
        <v>30</v>
      </c>
      <c r="F18" s="178">
        <v>70</v>
      </c>
      <c r="G18" s="178">
        <v>50</v>
      </c>
      <c r="H18" s="178">
        <v>5</v>
      </c>
      <c r="I18" s="178">
        <v>0</v>
      </c>
      <c r="J18" s="178">
        <v>1439</v>
      </c>
      <c r="K18" s="178">
        <v>0</v>
      </c>
      <c r="L18" s="178" t="s">
        <v>2</v>
      </c>
      <c r="M18" s="178" t="s">
        <v>3</v>
      </c>
      <c r="N18" s="178" t="s">
        <v>3</v>
      </c>
      <c r="O18" s="178" t="s">
        <v>3</v>
      </c>
      <c r="P18" s="176" t="s">
        <v>2</v>
      </c>
      <c r="Q18" s="178" t="s">
        <v>3</v>
      </c>
      <c r="R18" s="178" t="s">
        <v>3</v>
      </c>
      <c r="S18" s="178" t="s">
        <v>3</v>
      </c>
      <c r="T18" s="178">
        <v>0</v>
      </c>
      <c r="U18" s="178"/>
      <c r="V18" s="178"/>
      <c r="W18" s="178" t="s">
        <v>45</v>
      </c>
      <c r="X18" s="178"/>
      <c r="Y18" s="176" t="s">
        <v>2</v>
      </c>
      <c r="Z18" s="180"/>
    </row>
    <row r="19" spans="1:26" ht="21.75" customHeight="1" x14ac:dyDescent="0.2">
      <c r="A19" s="174" t="s">
        <v>166</v>
      </c>
      <c r="B19" s="177" t="s">
        <v>180</v>
      </c>
      <c r="C19" s="176" t="s">
        <v>94</v>
      </c>
      <c r="D19" s="178">
        <v>21</v>
      </c>
      <c r="E19" s="178">
        <v>85</v>
      </c>
      <c r="F19" s="178">
        <v>140</v>
      </c>
      <c r="G19" s="178">
        <v>85</v>
      </c>
      <c r="H19" s="178">
        <v>5</v>
      </c>
      <c r="I19" s="178">
        <v>30</v>
      </c>
      <c r="J19" s="178">
        <v>1439</v>
      </c>
      <c r="K19" s="178">
        <v>1439</v>
      </c>
      <c r="L19" s="178" t="s">
        <v>3</v>
      </c>
      <c r="M19" s="178" t="s">
        <v>3</v>
      </c>
      <c r="N19" s="178" t="s">
        <v>3</v>
      </c>
      <c r="O19" s="178" t="s">
        <v>3</v>
      </c>
      <c r="P19" s="176" t="s">
        <v>2</v>
      </c>
      <c r="Q19" s="178" t="s">
        <v>3</v>
      </c>
      <c r="R19" s="178" t="s">
        <v>2</v>
      </c>
      <c r="S19" s="178" t="s">
        <v>3</v>
      </c>
      <c r="T19" s="178">
        <v>0</v>
      </c>
      <c r="U19" s="178"/>
      <c r="V19" s="178"/>
      <c r="W19" s="178" t="s">
        <v>45</v>
      </c>
      <c r="X19" s="178"/>
      <c r="Y19" s="176" t="s">
        <v>2</v>
      </c>
      <c r="Z19" s="180"/>
    </row>
    <row r="20" spans="1:26" ht="14.25" x14ac:dyDescent="0.2">
      <c r="A20" s="174" t="s">
        <v>168</v>
      </c>
      <c r="B20" s="177" t="s">
        <v>180</v>
      </c>
      <c r="C20" s="176" t="s">
        <v>94</v>
      </c>
      <c r="D20" s="178">
        <v>38</v>
      </c>
      <c r="E20" s="178">
        <v>80</v>
      </c>
      <c r="F20" s="178">
        <v>180</v>
      </c>
      <c r="G20" s="178">
        <v>120</v>
      </c>
      <c r="H20" s="178">
        <v>5</v>
      </c>
      <c r="I20" s="178">
        <v>1</v>
      </c>
      <c r="J20" s="178">
        <v>240</v>
      </c>
      <c r="K20" s="178">
        <v>10</v>
      </c>
      <c r="L20" s="178" t="s">
        <v>3</v>
      </c>
      <c r="M20" s="178" t="s">
        <v>3</v>
      </c>
      <c r="N20" s="178" t="s">
        <v>3</v>
      </c>
      <c r="O20" s="178" t="s">
        <v>3</v>
      </c>
      <c r="P20" s="176" t="s">
        <v>2</v>
      </c>
      <c r="Q20" s="176" t="s">
        <v>2</v>
      </c>
      <c r="R20" s="178" t="s">
        <v>3</v>
      </c>
      <c r="S20" s="178" t="s">
        <v>2</v>
      </c>
      <c r="T20" s="178">
        <v>0</v>
      </c>
      <c r="U20" s="178"/>
      <c r="V20" s="178"/>
      <c r="W20" s="178" t="s">
        <v>190</v>
      </c>
      <c r="X20" s="178"/>
      <c r="Y20" s="176" t="s">
        <v>2</v>
      </c>
      <c r="Z20" s="180"/>
    </row>
    <row r="21" spans="1:26" ht="14.25" x14ac:dyDescent="0.2">
      <c r="A21" s="174" t="s">
        <v>156</v>
      </c>
      <c r="B21" s="177" t="s">
        <v>180</v>
      </c>
      <c r="C21" s="176" t="s">
        <v>94</v>
      </c>
      <c r="D21" s="178">
        <v>52</v>
      </c>
      <c r="E21" s="178">
        <v>30</v>
      </c>
      <c r="F21" s="178">
        <v>50</v>
      </c>
      <c r="G21" s="178">
        <v>40</v>
      </c>
      <c r="H21" s="178">
        <v>5</v>
      </c>
      <c r="I21" s="178">
        <v>1</v>
      </c>
      <c r="J21" s="178">
        <v>240</v>
      </c>
      <c r="K21" s="178">
        <v>30</v>
      </c>
      <c r="L21" s="178" t="s">
        <v>3</v>
      </c>
      <c r="M21" s="178" t="s">
        <v>3</v>
      </c>
      <c r="N21" s="178" t="s">
        <v>3</v>
      </c>
      <c r="O21" s="178" t="s">
        <v>3</v>
      </c>
      <c r="P21" s="176" t="s">
        <v>2</v>
      </c>
      <c r="Q21" s="178" t="s">
        <v>3</v>
      </c>
      <c r="R21" s="178" t="s">
        <v>3</v>
      </c>
      <c r="S21" s="178" t="s">
        <v>2</v>
      </c>
      <c r="T21" s="178">
        <v>0</v>
      </c>
      <c r="U21" s="178"/>
      <c r="V21" s="178"/>
      <c r="W21" s="178" t="s">
        <v>190</v>
      </c>
      <c r="X21" s="178"/>
      <c r="Y21" s="176" t="s">
        <v>2</v>
      </c>
      <c r="Z21" s="180"/>
    </row>
    <row r="22" spans="1:26" ht="14.25" x14ac:dyDescent="0.2">
      <c r="A22" s="174" t="s">
        <v>334</v>
      </c>
      <c r="B22" s="188" t="s">
        <v>180</v>
      </c>
      <c r="C22" s="176" t="s">
        <v>94</v>
      </c>
      <c r="D22" s="178">
        <v>57</v>
      </c>
      <c r="E22" s="178">
        <v>1</v>
      </c>
      <c r="F22" s="178">
        <v>1</v>
      </c>
      <c r="G22" s="178">
        <v>1</v>
      </c>
      <c r="H22" s="178">
        <v>1</v>
      </c>
      <c r="I22" s="178">
        <v>10</v>
      </c>
      <c r="J22" s="178">
        <v>10</v>
      </c>
      <c r="K22" s="178">
        <v>10</v>
      </c>
      <c r="L22" s="178" t="s">
        <v>3</v>
      </c>
      <c r="M22" s="178" t="s">
        <v>3</v>
      </c>
      <c r="N22" s="178" t="s">
        <v>3</v>
      </c>
      <c r="O22" s="178" t="s">
        <v>3</v>
      </c>
      <c r="P22" s="178" t="s">
        <v>3</v>
      </c>
      <c r="Q22" s="178" t="s">
        <v>3</v>
      </c>
      <c r="R22" s="178" t="s">
        <v>3</v>
      </c>
      <c r="S22" s="178" t="s">
        <v>3</v>
      </c>
      <c r="T22" s="178">
        <v>0</v>
      </c>
      <c r="U22" s="178"/>
      <c r="V22" s="178"/>
      <c r="W22" s="178" t="s">
        <v>25</v>
      </c>
      <c r="X22" s="178"/>
      <c r="Y22" s="176" t="s">
        <v>2</v>
      </c>
      <c r="Z22" s="180"/>
    </row>
    <row r="23" spans="1:26" ht="14.25" x14ac:dyDescent="0.2">
      <c r="A23" s="174" t="s">
        <v>11</v>
      </c>
      <c r="B23" s="182" t="s">
        <v>180</v>
      </c>
      <c r="C23" s="176" t="s">
        <v>94</v>
      </c>
      <c r="D23" s="178">
        <v>9</v>
      </c>
      <c r="E23" s="179">
        <v>1</v>
      </c>
      <c r="F23" s="179">
        <v>1</v>
      </c>
      <c r="G23" s="179">
        <v>1</v>
      </c>
      <c r="H23" s="179">
        <v>1</v>
      </c>
      <c r="I23" s="178">
        <v>90</v>
      </c>
      <c r="J23" s="178">
        <v>180</v>
      </c>
      <c r="K23" s="178">
        <v>120</v>
      </c>
      <c r="L23" s="178" t="s">
        <v>3</v>
      </c>
      <c r="M23" s="178" t="s">
        <v>3</v>
      </c>
      <c r="N23" s="178" t="s">
        <v>3</v>
      </c>
      <c r="O23" s="178" t="s">
        <v>3</v>
      </c>
      <c r="P23" s="178" t="s">
        <v>3</v>
      </c>
      <c r="Q23" s="178" t="s">
        <v>3</v>
      </c>
      <c r="R23" s="178" t="s">
        <v>3</v>
      </c>
      <c r="S23" s="178" t="s">
        <v>3</v>
      </c>
      <c r="T23" s="178">
        <v>0</v>
      </c>
      <c r="U23" s="178"/>
      <c r="V23" s="178"/>
      <c r="W23" s="178" t="s">
        <v>25</v>
      </c>
      <c r="X23" s="178"/>
      <c r="Y23" s="178" t="s">
        <v>3</v>
      </c>
      <c r="Z23" s="180"/>
    </row>
    <row r="24" spans="1:26" ht="14.25" x14ac:dyDescent="0.2">
      <c r="A24" s="174" t="s">
        <v>12</v>
      </c>
      <c r="B24" s="188" t="s">
        <v>180</v>
      </c>
      <c r="C24" s="176" t="s">
        <v>94</v>
      </c>
      <c r="D24" s="178">
        <v>19</v>
      </c>
      <c r="E24" s="178">
        <v>1</v>
      </c>
      <c r="F24" s="178">
        <v>1</v>
      </c>
      <c r="G24" s="178">
        <v>1</v>
      </c>
      <c r="H24" s="178">
        <v>1</v>
      </c>
      <c r="I24" s="178">
        <v>60</v>
      </c>
      <c r="J24" s="178">
        <v>60</v>
      </c>
      <c r="K24" s="178">
        <v>60</v>
      </c>
      <c r="L24" s="178" t="s">
        <v>3</v>
      </c>
      <c r="M24" s="178" t="s">
        <v>3</v>
      </c>
      <c r="N24" s="178" t="s">
        <v>3</v>
      </c>
      <c r="O24" s="178" t="s">
        <v>3</v>
      </c>
      <c r="P24" s="178" t="s">
        <v>3</v>
      </c>
      <c r="Q24" s="178" t="s">
        <v>3</v>
      </c>
      <c r="R24" s="178" t="s">
        <v>3</v>
      </c>
      <c r="S24" s="178" t="s">
        <v>3</v>
      </c>
      <c r="T24" s="178">
        <v>0</v>
      </c>
      <c r="U24" s="178"/>
      <c r="V24" s="178"/>
      <c r="W24" s="178" t="s">
        <v>25</v>
      </c>
      <c r="X24" s="178"/>
      <c r="Y24" s="176" t="s">
        <v>2</v>
      </c>
      <c r="Z24" s="180"/>
    </row>
    <row r="25" spans="1:26" ht="14.25" x14ac:dyDescent="0.2">
      <c r="A25" s="174" t="s">
        <v>655</v>
      </c>
      <c r="B25" s="188" t="s">
        <v>180</v>
      </c>
      <c r="C25" s="176" t="s">
        <v>94</v>
      </c>
      <c r="D25" s="230">
        <v>45</v>
      </c>
      <c r="E25" s="181">
        <v>1</v>
      </c>
      <c r="F25" s="181">
        <v>1</v>
      </c>
      <c r="G25" s="181">
        <v>1</v>
      </c>
      <c r="H25" s="181">
        <v>1</v>
      </c>
      <c r="I25" s="181">
        <v>2</v>
      </c>
      <c r="J25" s="181">
        <v>2</v>
      </c>
      <c r="K25" s="181">
        <v>2</v>
      </c>
      <c r="L25" s="179" t="s">
        <v>3</v>
      </c>
      <c r="M25" s="179" t="s">
        <v>3</v>
      </c>
      <c r="N25" s="179" t="s">
        <v>3</v>
      </c>
      <c r="O25" s="179" t="s">
        <v>3</v>
      </c>
      <c r="P25" s="179" t="s">
        <v>3</v>
      </c>
      <c r="Q25" s="179" t="s">
        <v>3</v>
      </c>
      <c r="R25" s="179" t="s">
        <v>3</v>
      </c>
      <c r="S25" s="179" t="s">
        <v>3</v>
      </c>
      <c r="T25" s="178">
        <v>0</v>
      </c>
      <c r="U25" s="231"/>
      <c r="V25" s="178"/>
      <c r="W25" s="178" t="s">
        <v>25</v>
      </c>
      <c r="X25" s="178"/>
      <c r="Y25" s="176" t="s">
        <v>2</v>
      </c>
      <c r="Z25" s="180"/>
    </row>
    <row r="26" spans="1:26" ht="14.25" x14ac:dyDescent="0.2">
      <c r="A26" s="174" t="s">
        <v>320</v>
      </c>
      <c r="B26" s="188" t="s">
        <v>180</v>
      </c>
      <c r="C26" s="176" t="s">
        <v>94</v>
      </c>
      <c r="D26" s="178">
        <v>39</v>
      </c>
      <c r="E26" s="178">
        <v>1</v>
      </c>
      <c r="F26" s="178">
        <v>1</v>
      </c>
      <c r="G26" s="178">
        <v>1</v>
      </c>
      <c r="H26" s="178">
        <v>1</v>
      </c>
      <c r="I26" s="178">
        <v>65</v>
      </c>
      <c r="J26" s="178">
        <v>65</v>
      </c>
      <c r="K26" s="178">
        <v>65</v>
      </c>
      <c r="L26" s="178" t="s">
        <v>3</v>
      </c>
      <c r="M26" s="178" t="s">
        <v>3</v>
      </c>
      <c r="N26" s="178" t="s">
        <v>3</v>
      </c>
      <c r="O26" s="178" t="s">
        <v>3</v>
      </c>
      <c r="P26" s="178" t="s">
        <v>3</v>
      </c>
      <c r="Q26" s="178" t="s">
        <v>3</v>
      </c>
      <c r="R26" s="178" t="s">
        <v>3</v>
      </c>
      <c r="S26" s="178" t="s">
        <v>2</v>
      </c>
      <c r="T26" s="178">
        <v>0</v>
      </c>
      <c r="U26" s="178"/>
      <c r="V26" s="178"/>
      <c r="W26" s="178" t="s">
        <v>25</v>
      </c>
      <c r="X26" s="178"/>
      <c r="Y26" s="176" t="s">
        <v>2</v>
      </c>
      <c r="Z26" s="180"/>
    </row>
    <row r="27" spans="1:26" ht="14.25" x14ac:dyDescent="0.2">
      <c r="A27" s="190" t="s">
        <v>321</v>
      </c>
      <c r="B27" s="191" t="s">
        <v>180</v>
      </c>
      <c r="C27" s="192" t="s">
        <v>94</v>
      </c>
      <c r="D27" s="195">
        <v>40</v>
      </c>
      <c r="E27" s="195">
        <v>1</v>
      </c>
      <c r="F27" s="195">
        <v>1</v>
      </c>
      <c r="G27" s="195">
        <v>1</v>
      </c>
      <c r="H27" s="195">
        <v>1</v>
      </c>
      <c r="I27" s="195">
        <v>8</v>
      </c>
      <c r="J27" s="195">
        <v>8</v>
      </c>
      <c r="K27" s="195">
        <v>8</v>
      </c>
      <c r="L27" s="195" t="s">
        <v>3</v>
      </c>
      <c r="M27" s="195" t="s">
        <v>3</v>
      </c>
      <c r="N27" s="195" t="s">
        <v>3</v>
      </c>
      <c r="O27" s="195" t="s">
        <v>3</v>
      </c>
      <c r="P27" s="195" t="s">
        <v>3</v>
      </c>
      <c r="Q27" s="195" t="s">
        <v>3</v>
      </c>
      <c r="R27" s="195" t="s">
        <v>3</v>
      </c>
      <c r="S27" s="195" t="s">
        <v>2</v>
      </c>
      <c r="T27" s="195">
        <v>0</v>
      </c>
      <c r="U27" s="195"/>
      <c r="V27" s="195"/>
      <c r="W27" s="195" t="s">
        <v>25</v>
      </c>
      <c r="X27" s="195"/>
      <c r="Y27" s="192" t="s">
        <v>2</v>
      </c>
      <c r="Z27" s="197"/>
    </row>
  </sheetData>
  <conditionalFormatting sqref="G10:H10 G6:H6 G7:J9 D3:J3 D18:J18 G2:K2 G4:J5 D19:K21 N2:N3 U2:V20 X2:Y2 O3:Q3 L11:L18 D13:E17 F4:F17 G11:J17 L3:L5 L7:L9 W3:X20 Z3:Z21 D23:K24 M3 M14:Q14 M15:P18 P19 P21:X21 P20:T20 R17:R19 S3:T15 T23:Z24 T2:T24 M5:N13 P4:Q13 S26:Z27 D26:K27">
    <cfRule type="expression" dxfId="197" priority="37" stopIfTrue="1">
      <formula>MOD(ROW(#REF!),2)=0</formula>
    </cfRule>
  </conditionalFormatting>
  <conditionalFormatting sqref="Q2">
    <cfRule type="expression" dxfId="196" priority="36" stopIfTrue="1">
      <formula>MOD(ROW(#REF!),2)=0</formula>
    </cfRule>
  </conditionalFormatting>
  <conditionalFormatting sqref="F2">
    <cfRule type="expression" dxfId="195" priority="34" stopIfTrue="1">
      <formula>MOD(ROW(#REF!),2)=0</formula>
    </cfRule>
  </conditionalFormatting>
  <conditionalFormatting sqref="C1">
    <cfRule type="expression" dxfId="194" priority="29" stopIfTrue="1">
      <formula>MOD(ROW(#REF!),2)=0</formula>
    </cfRule>
  </conditionalFormatting>
  <conditionalFormatting sqref="I10:J10 L10">
    <cfRule type="expression" dxfId="193" priority="26" stopIfTrue="1">
      <formula>MOD(ROW(#REF!),2)=0</formula>
    </cfRule>
  </conditionalFormatting>
  <conditionalFormatting sqref="I6:J6 L6">
    <cfRule type="expression" dxfId="192" priority="25" stopIfTrue="1">
      <formula>MOD(ROW(#REF!),2)=0</formula>
    </cfRule>
  </conditionalFormatting>
  <conditionalFormatting sqref="A1:B1 E12 O2 R2:S2 D4:E11">
    <cfRule type="expression" dxfId="191" priority="41" stopIfTrue="1">
      <formula>MOD(ROW(#REF!),2)=0</formula>
    </cfRule>
  </conditionalFormatting>
  <conditionalFormatting sqref="D2:E2 M2 P2">
    <cfRule type="expression" dxfId="190" priority="40" stopIfTrue="1">
      <formula>MOD(ROW(#REF!),2)=0</formula>
    </cfRule>
  </conditionalFormatting>
  <conditionalFormatting sqref="Z2">
    <cfRule type="expression" dxfId="189" priority="39" stopIfTrue="1">
      <formula>MOD(ROW(#REF!),2)=0</formula>
    </cfRule>
  </conditionalFormatting>
  <conditionalFormatting sqref="W2">
    <cfRule type="expression" dxfId="188" priority="38" stopIfTrue="1">
      <formula>MOD(ROW(#REF!),2)=0</formula>
    </cfRule>
  </conditionalFormatting>
  <conditionalFormatting sqref="K7:K9 K3:K5 K11:K18">
    <cfRule type="expression" dxfId="187" priority="17" stopIfTrue="1">
      <formula>MOD(ROW(#REF!),2)=0</formula>
    </cfRule>
  </conditionalFormatting>
  <conditionalFormatting sqref="K10">
    <cfRule type="expression" dxfId="186" priority="16" stopIfTrue="1">
      <formula>MOD(ROW(#REF!),2)=0</formula>
    </cfRule>
  </conditionalFormatting>
  <conditionalFormatting sqref="K6">
    <cfRule type="expression" dxfId="185" priority="15" stopIfTrue="1">
      <formula>MOD(ROW(#REF!),2)=0</formula>
    </cfRule>
  </conditionalFormatting>
  <conditionalFormatting sqref="Y3:Y22">
    <cfRule type="expression" dxfId="184" priority="14" stopIfTrue="1">
      <formula>MOD(ROW(#REF!),2)=0</formula>
    </cfRule>
  </conditionalFormatting>
  <conditionalFormatting sqref="L19:O24 L26:O27">
    <cfRule type="expression" dxfId="183" priority="13" stopIfTrue="1">
      <formula>MOD(ROW(#REF!),2)=0</formula>
    </cfRule>
  </conditionalFormatting>
  <conditionalFormatting sqref="M4:O4 O5:O13">
    <cfRule type="expression" dxfId="182" priority="12" stopIfTrue="1">
      <formula>MOD(ROW(#REF!),2)=0</formula>
    </cfRule>
  </conditionalFormatting>
  <conditionalFormatting sqref="Q15:Q19">
    <cfRule type="expression" dxfId="181" priority="11" stopIfTrue="1">
      <formula>MOD(ROW(#REF!),2)=0</formula>
    </cfRule>
  </conditionalFormatting>
  <conditionalFormatting sqref="P22:R24 P26:R27">
    <cfRule type="expression" dxfId="180" priority="10" stopIfTrue="1">
      <formula>MOD(ROW(#REF!),2)=0</formula>
    </cfRule>
  </conditionalFormatting>
  <conditionalFormatting sqref="R3:R16">
    <cfRule type="expression" dxfId="179" priority="9" stopIfTrue="1">
      <formula>MOD(ROW(#REF!),2)=0</formula>
    </cfRule>
  </conditionalFormatting>
  <conditionalFormatting sqref="S16:S19">
    <cfRule type="expression" dxfId="178" priority="8" stopIfTrue="1">
      <formula>MOD(ROW(#REF!),2)=0</formula>
    </cfRule>
  </conditionalFormatting>
  <conditionalFormatting sqref="S22:S24">
    <cfRule type="expression" dxfId="177" priority="7" stopIfTrue="1">
      <formula>MOD(ROW(#REF!),2)=0</formula>
    </cfRule>
  </conditionalFormatting>
  <conditionalFormatting sqref="L2">
    <cfRule type="expression" dxfId="176" priority="6" stopIfTrue="1">
      <formula>MOD(ROW(#REF!),2)=0</formula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stopIfTrue="1" id="{698264A3-4CE9-4CCD-8E44-2AE5318FB2E0}">
            <xm:f>MOD(ROW('OM Table'!#REF!),2)=0</xm:f>
            <x14:dxf>
              <fill>
                <patternFill>
                  <bgColor indexed="11"/>
                </patternFill>
              </fill>
            </x14:dxf>
          </x14:cfRule>
          <xm:sqref>D22:K22 Z22 T22:X22</xm:sqref>
        </x14:conditionalFormatting>
        <x14:conditionalFormatting xmlns:xm="http://schemas.microsoft.com/office/excel/2006/main">
          <x14:cfRule type="expression" priority="5" stopIfTrue="1" id="{6180B6A0-A0DF-4785-B7BB-C0BB7AFA6663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D25:K25 V25:X25 Z25</xm:sqref>
        </x14:conditionalFormatting>
        <x14:conditionalFormatting xmlns:xm="http://schemas.microsoft.com/office/excel/2006/main">
          <x14:cfRule type="expression" priority="4" stopIfTrue="1" id="{4A7A612D-DA80-4F4B-8054-ED3E224AB118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U25</xm:sqref>
        </x14:conditionalFormatting>
        <x14:conditionalFormatting xmlns:xm="http://schemas.microsoft.com/office/excel/2006/main">
          <x14:cfRule type="expression" priority="3" stopIfTrue="1" id="{96DCFC52-5C47-46E6-BB7E-40D1176524E1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T25</xm:sqref>
        </x14:conditionalFormatting>
        <x14:conditionalFormatting xmlns:xm="http://schemas.microsoft.com/office/excel/2006/main">
          <x14:cfRule type="expression" priority="2" stopIfTrue="1" id="{C94D81E1-0F73-40F2-8ECC-0CECCBD959EA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L25:S25</xm:sqref>
        </x14:conditionalFormatting>
        <x14:conditionalFormatting xmlns:xm="http://schemas.microsoft.com/office/excel/2006/main">
          <x14:cfRule type="expression" priority="1" stopIfTrue="1" id="{A83AA0E3-A8BB-44B6-8D9D-F015ABC81BBC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Y25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Z26"/>
  <sheetViews>
    <sheetView workbookViewId="0">
      <selection activeCell="H30" sqref="H30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14.5703125" customWidth="1"/>
    <col min="4" max="4" width="9.42578125" customWidth="1"/>
    <col min="5" max="5" width="10" customWidth="1"/>
    <col min="7" max="7" width="13" customWidth="1"/>
    <col min="8" max="8" width="13.85546875" customWidth="1"/>
    <col min="9" max="9" width="17" customWidth="1"/>
    <col min="10" max="10" width="13.7109375" customWidth="1"/>
    <col min="11" max="11" width="12.85546875" customWidth="1"/>
    <col min="13" max="13" width="15.28515625" customWidth="1"/>
    <col min="14" max="14" width="14.7109375" customWidth="1"/>
    <col min="15" max="16" width="13.28515625" customWidth="1"/>
    <col min="17" max="17" width="22.42578125" bestFit="1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178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40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" thickTop="1" x14ac:dyDescent="0.2">
      <c r="A3" s="168" t="s">
        <v>1</v>
      </c>
      <c r="B3" s="169" t="s">
        <v>180</v>
      </c>
      <c r="C3" s="170" t="s">
        <v>94</v>
      </c>
      <c r="D3" s="172">
        <v>5</v>
      </c>
      <c r="E3" s="172">
        <v>30</v>
      </c>
      <c r="F3" s="172">
        <v>275</v>
      </c>
      <c r="G3" s="172">
        <v>160</v>
      </c>
      <c r="H3" s="172">
        <v>5</v>
      </c>
      <c r="I3" s="172">
        <v>0</v>
      </c>
      <c r="J3" s="172">
        <v>1439</v>
      </c>
      <c r="K3" s="172">
        <v>0</v>
      </c>
      <c r="L3" s="172" t="s">
        <v>2</v>
      </c>
      <c r="M3" s="170" t="s">
        <v>2</v>
      </c>
      <c r="N3" s="172" t="s">
        <v>2</v>
      </c>
      <c r="O3" s="172" t="s">
        <v>2</v>
      </c>
      <c r="P3" s="170" t="s">
        <v>2</v>
      </c>
      <c r="Q3" s="170" t="s">
        <v>2</v>
      </c>
      <c r="R3" s="178" t="s">
        <v>3</v>
      </c>
      <c r="S3" s="172" t="s">
        <v>2</v>
      </c>
      <c r="T3" s="178">
        <v>0</v>
      </c>
      <c r="U3" s="172"/>
      <c r="V3" s="172"/>
      <c r="W3" s="172" t="s">
        <v>45</v>
      </c>
      <c r="X3" s="172"/>
      <c r="Y3" s="176" t="s">
        <v>2</v>
      </c>
      <c r="Z3" s="173"/>
    </row>
    <row r="4" spans="1:26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275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8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3</v>
      </c>
      <c r="T4" s="178">
        <v>0</v>
      </c>
      <c r="U4" s="178"/>
      <c r="V4" s="178"/>
      <c r="W4" s="178" t="s">
        <v>45</v>
      </c>
      <c r="X4" s="178"/>
      <c r="Y4" s="176" t="s">
        <v>2</v>
      </c>
      <c r="Z4" s="180"/>
    </row>
    <row r="5" spans="1:26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300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2</v>
      </c>
      <c r="O5" s="178" t="s">
        <v>2</v>
      </c>
      <c r="P5" s="176" t="s">
        <v>2</v>
      </c>
      <c r="Q5" s="176" t="s">
        <v>2</v>
      </c>
      <c r="R5" s="178" t="s">
        <v>3</v>
      </c>
      <c r="S5" s="178" t="s">
        <v>2</v>
      </c>
      <c r="T5" s="178">
        <v>0</v>
      </c>
      <c r="U5" s="178"/>
      <c r="V5" s="178"/>
      <c r="W5" s="178" t="s">
        <v>45</v>
      </c>
      <c r="X5" s="178"/>
      <c r="Y5" s="176" t="s">
        <v>2</v>
      </c>
      <c r="Z5" s="180"/>
    </row>
    <row r="6" spans="1:26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300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3</v>
      </c>
      <c r="T6" s="178">
        <v>0</v>
      </c>
      <c r="U6" s="178"/>
      <c r="V6" s="178"/>
      <c r="W6" s="178" t="s">
        <v>45</v>
      </c>
      <c r="X6" s="178"/>
      <c r="Y6" s="176" t="s">
        <v>2</v>
      </c>
      <c r="Z6" s="180"/>
    </row>
    <row r="7" spans="1:26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300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8" t="s">
        <v>3</v>
      </c>
      <c r="N7" s="178" t="s">
        <v>2</v>
      </c>
      <c r="O7" s="178" t="s">
        <v>2</v>
      </c>
      <c r="P7" s="176" t="s">
        <v>2</v>
      </c>
      <c r="Q7" s="176" t="s">
        <v>2</v>
      </c>
      <c r="R7" s="178" t="s">
        <v>3</v>
      </c>
      <c r="S7" s="178" t="s">
        <v>2</v>
      </c>
      <c r="T7" s="178">
        <v>0</v>
      </c>
      <c r="U7" s="178"/>
      <c r="V7" s="178"/>
      <c r="W7" s="178" t="s">
        <v>45</v>
      </c>
      <c r="X7" s="178"/>
      <c r="Y7" s="176" t="s">
        <v>2</v>
      </c>
      <c r="Z7" s="180"/>
    </row>
    <row r="8" spans="1:26" ht="14.25" x14ac:dyDescent="0.2">
      <c r="A8" s="174" t="s">
        <v>163</v>
      </c>
      <c r="B8" s="177" t="s">
        <v>180</v>
      </c>
      <c r="C8" s="176" t="s">
        <v>94</v>
      </c>
      <c r="D8" s="178">
        <v>12</v>
      </c>
      <c r="E8" s="178">
        <v>30</v>
      </c>
      <c r="F8" s="178">
        <v>275</v>
      </c>
      <c r="G8" s="178">
        <v>200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8" t="s">
        <v>3</v>
      </c>
      <c r="N8" s="178" t="s">
        <v>3</v>
      </c>
      <c r="O8" s="178" t="s">
        <v>3</v>
      </c>
      <c r="P8" s="176" t="s">
        <v>2</v>
      </c>
      <c r="Q8" s="176" t="s">
        <v>2</v>
      </c>
      <c r="R8" s="178" t="s">
        <v>3</v>
      </c>
      <c r="S8" s="178" t="s">
        <v>3</v>
      </c>
      <c r="T8" s="178">
        <v>0</v>
      </c>
      <c r="U8" s="178"/>
      <c r="V8" s="178"/>
      <c r="W8" s="178" t="s">
        <v>45</v>
      </c>
      <c r="X8" s="178"/>
      <c r="Y8" s="176" t="s">
        <v>2</v>
      </c>
      <c r="Z8" s="180"/>
    </row>
    <row r="9" spans="1:26" ht="14.25" x14ac:dyDescent="0.2">
      <c r="A9" s="174" t="s">
        <v>164</v>
      </c>
      <c r="B9" s="177" t="s">
        <v>181</v>
      </c>
      <c r="C9" s="176" t="s">
        <v>94</v>
      </c>
      <c r="D9" s="178">
        <v>4</v>
      </c>
      <c r="E9" s="178">
        <v>30</v>
      </c>
      <c r="F9" s="178">
        <v>300</v>
      </c>
      <c r="G9" s="178">
        <v>190</v>
      </c>
      <c r="H9" s="178">
        <v>5</v>
      </c>
      <c r="I9" s="178">
        <v>0</v>
      </c>
      <c r="J9" s="178">
        <v>1439</v>
      </c>
      <c r="K9" s="178">
        <v>0</v>
      </c>
      <c r="L9" s="178" t="s">
        <v>2</v>
      </c>
      <c r="M9" s="176" t="s">
        <v>2</v>
      </c>
      <c r="N9" s="178" t="s">
        <v>3</v>
      </c>
      <c r="O9" s="178" t="s">
        <v>3</v>
      </c>
      <c r="P9" s="176" t="s">
        <v>2</v>
      </c>
      <c r="Q9" s="176" t="s">
        <v>2</v>
      </c>
      <c r="R9" s="178" t="s">
        <v>3</v>
      </c>
      <c r="S9" s="178" t="s">
        <v>3</v>
      </c>
      <c r="T9" s="178">
        <v>0</v>
      </c>
      <c r="U9" s="178"/>
      <c r="V9" s="178"/>
      <c r="W9" s="178" t="s">
        <v>45</v>
      </c>
      <c r="X9" s="178"/>
      <c r="Y9" s="176" t="s">
        <v>2</v>
      </c>
      <c r="Z9" s="180"/>
    </row>
    <row r="10" spans="1:26" ht="14.25" x14ac:dyDescent="0.2">
      <c r="A10" s="174" t="s">
        <v>165</v>
      </c>
      <c r="B10" s="177" t="s">
        <v>180</v>
      </c>
      <c r="C10" s="176" t="s">
        <v>94</v>
      </c>
      <c r="D10" s="178">
        <v>24</v>
      </c>
      <c r="E10" s="178">
        <v>70</v>
      </c>
      <c r="F10" s="178">
        <v>120</v>
      </c>
      <c r="G10" s="178">
        <v>80</v>
      </c>
      <c r="H10" s="178">
        <v>5</v>
      </c>
      <c r="I10" s="178">
        <v>0</v>
      </c>
      <c r="J10" s="178">
        <v>1439</v>
      </c>
      <c r="K10" s="178">
        <v>0</v>
      </c>
      <c r="L10" s="178" t="s">
        <v>2</v>
      </c>
      <c r="M10" s="178" t="s">
        <v>3</v>
      </c>
      <c r="N10" s="178" t="s">
        <v>3</v>
      </c>
      <c r="O10" s="178" t="s">
        <v>3</v>
      </c>
      <c r="P10" s="176" t="s">
        <v>2</v>
      </c>
      <c r="Q10" s="178" t="s">
        <v>3</v>
      </c>
      <c r="R10" s="178" t="s">
        <v>3</v>
      </c>
      <c r="S10" s="178" t="s">
        <v>3</v>
      </c>
      <c r="T10" s="178">
        <v>0</v>
      </c>
      <c r="U10" s="178"/>
      <c r="V10" s="178"/>
      <c r="W10" s="178" t="s">
        <v>45</v>
      </c>
      <c r="X10" s="178"/>
      <c r="Y10" s="176" t="s">
        <v>2</v>
      </c>
      <c r="Z10" s="180"/>
    </row>
    <row r="11" spans="1:26" ht="14.25" x14ac:dyDescent="0.2">
      <c r="A11" s="174" t="s">
        <v>5</v>
      </c>
      <c r="B11" s="177" t="s">
        <v>180</v>
      </c>
      <c r="C11" s="176" t="s">
        <v>94</v>
      </c>
      <c r="D11" s="178">
        <v>8</v>
      </c>
      <c r="E11" s="179">
        <v>1</v>
      </c>
      <c r="F11" s="179">
        <v>3</v>
      </c>
      <c r="G11" s="179">
        <v>3</v>
      </c>
      <c r="H11" s="179">
        <v>1</v>
      </c>
      <c r="I11" s="178">
        <v>0</v>
      </c>
      <c r="J11" s="178">
        <v>1439</v>
      </c>
      <c r="K11" s="178">
        <v>0</v>
      </c>
      <c r="L11" s="178" t="s">
        <v>2</v>
      </c>
      <c r="M11" s="178" t="s">
        <v>3</v>
      </c>
      <c r="N11" s="178" t="s">
        <v>3</v>
      </c>
      <c r="O11" s="178" t="s">
        <v>2</v>
      </c>
      <c r="P11" s="178" t="s">
        <v>3</v>
      </c>
      <c r="Q11" s="178" t="s">
        <v>3</v>
      </c>
      <c r="R11" s="178" t="s">
        <v>3</v>
      </c>
      <c r="S11" s="178" t="s">
        <v>3</v>
      </c>
      <c r="T11" s="178">
        <v>0</v>
      </c>
      <c r="U11" s="178"/>
      <c r="V11" s="178"/>
      <c r="W11" s="178" t="s">
        <v>45</v>
      </c>
      <c r="X11" s="178"/>
      <c r="Y11" s="176" t="s">
        <v>2</v>
      </c>
      <c r="Z11" s="180"/>
    </row>
    <row r="12" spans="1:26" ht="14.25" x14ac:dyDescent="0.2">
      <c r="A12" s="174" t="s">
        <v>6</v>
      </c>
      <c r="B12" s="177" t="s">
        <v>180</v>
      </c>
      <c r="C12" s="176" t="s">
        <v>94</v>
      </c>
      <c r="D12" s="178">
        <v>7</v>
      </c>
      <c r="E12" s="179">
        <v>1</v>
      </c>
      <c r="F12" s="179">
        <v>3</v>
      </c>
      <c r="G12" s="179">
        <v>3</v>
      </c>
      <c r="H12" s="179">
        <v>1</v>
      </c>
      <c r="I12" s="178">
        <v>0</v>
      </c>
      <c r="J12" s="178">
        <v>1439</v>
      </c>
      <c r="K12" s="178">
        <v>0</v>
      </c>
      <c r="L12" s="178" t="s">
        <v>2</v>
      </c>
      <c r="M12" s="178" t="s">
        <v>3</v>
      </c>
      <c r="N12" s="178" t="s">
        <v>3</v>
      </c>
      <c r="O12" s="178" t="s">
        <v>2</v>
      </c>
      <c r="P12" s="178" t="s">
        <v>3</v>
      </c>
      <c r="Q12" s="178" t="s">
        <v>3</v>
      </c>
      <c r="R12" s="178" t="s">
        <v>3</v>
      </c>
      <c r="S12" s="178" t="s">
        <v>3</v>
      </c>
      <c r="T12" s="178">
        <v>0</v>
      </c>
      <c r="U12" s="178"/>
      <c r="V12" s="178"/>
      <c r="W12" s="178" t="s">
        <v>45</v>
      </c>
      <c r="X12" s="178"/>
      <c r="Y12" s="176" t="s">
        <v>2</v>
      </c>
      <c r="Z12" s="180"/>
    </row>
    <row r="13" spans="1:26" ht="14.25" x14ac:dyDescent="0.2">
      <c r="A13" s="174" t="s">
        <v>10</v>
      </c>
      <c r="B13" s="177" t="s">
        <v>182</v>
      </c>
      <c r="C13" s="176" t="s">
        <v>94</v>
      </c>
      <c r="D13" s="178">
        <v>48</v>
      </c>
      <c r="E13" s="178">
        <v>30</v>
      </c>
      <c r="F13" s="178">
        <v>275</v>
      </c>
      <c r="G13" s="178">
        <v>200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8" t="s">
        <v>3</v>
      </c>
      <c r="N13" s="178" t="s">
        <v>3</v>
      </c>
      <c r="O13" s="178" t="s">
        <v>3</v>
      </c>
      <c r="P13" s="176" t="s">
        <v>2</v>
      </c>
      <c r="Q13" s="178" t="s">
        <v>3</v>
      </c>
      <c r="R13" s="178" t="s">
        <v>3</v>
      </c>
      <c r="S13" s="178" t="s">
        <v>3</v>
      </c>
      <c r="T13" s="178">
        <v>0</v>
      </c>
      <c r="U13" s="178"/>
      <c r="V13" s="178"/>
      <c r="W13" s="178" t="s">
        <v>45</v>
      </c>
      <c r="X13" s="178"/>
      <c r="Y13" s="176" t="s">
        <v>2</v>
      </c>
      <c r="Z13" s="180"/>
    </row>
    <row r="14" spans="1:26" ht="14.25" x14ac:dyDescent="0.2">
      <c r="A14" s="174" t="s">
        <v>7</v>
      </c>
      <c r="B14" s="177" t="s">
        <v>180</v>
      </c>
      <c r="C14" s="176" t="s">
        <v>94</v>
      </c>
      <c r="D14" s="178">
        <v>11</v>
      </c>
      <c r="E14" s="178">
        <v>30</v>
      </c>
      <c r="F14" s="178">
        <v>250</v>
      </c>
      <c r="G14" s="178">
        <v>150</v>
      </c>
      <c r="H14" s="178">
        <v>5</v>
      </c>
      <c r="I14" s="178">
        <v>0</v>
      </c>
      <c r="J14" s="178">
        <v>1439</v>
      </c>
      <c r="K14" s="178">
        <v>0</v>
      </c>
      <c r="L14" s="178" t="s">
        <v>2</v>
      </c>
      <c r="M14" s="178" t="s">
        <v>3</v>
      </c>
      <c r="N14" s="178" t="s">
        <v>3</v>
      </c>
      <c r="O14" s="178" t="s">
        <v>3</v>
      </c>
      <c r="P14" s="176" t="s">
        <v>2</v>
      </c>
      <c r="Q14" s="176" t="s">
        <v>2</v>
      </c>
      <c r="R14" s="178" t="s">
        <v>3</v>
      </c>
      <c r="S14" s="178" t="s">
        <v>3</v>
      </c>
      <c r="T14" s="178">
        <v>0</v>
      </c>
      <c r="U14" s="178"/>
      <c r="V14" s="178"/>
      <c r="W14" s="178" t="s">
        <v>45</v>
      </c>
      <c r="X14" s="178"/>
      <c r="Y14" s="176" t="s">
        <v>2</v>
      </c>
      <c r="Z14" s="180"/>
    </row>
    <row r="15" spans="1:26" ht="14.25" x14ac:dyDescent="0.2">
      <c r="A15" s="174" t="s">
        <v>8</v>
      </c>
      <c r="B15" s="177" t="s">
        <v>180</v>
      </c>
      <c r="C15" s="176" t="s">
        <v>94</v>
      </c>
      <c r="D15" s="178">
        <v>14</v>
      </c>
      <c r="E15" s="178">
        <v>50</v>
      </c>
      <c r="F15" s="178">
        <v>100</v>
      </c>
      <c r="G15" s="178">
        <v>65</v>
      </c>
      <c r="H15" s="178">
        <v>5</v>
      </c>
      <c r="I15" s="178">
        <v>0</v>
      </c>
      <c r="J15" s="178">
        <v>1439</v>
      </c>
      <c r="K15" s="178">
        <v>0</v>
      </c>
      <c r="L15" s="178" t="s">
        <v>2</v>
      </c>
      <c r="M15" s="178" t="s">
        <v>3</v>
      </c>
      <c r="N15" s="178" t="s">
        <v>2</v>
      </c>
      <c r="O15" s="178" t="s">
        <v>3</v>
      </c>
      <c r="P15" s="176" t="s">
        <v>2</v>
      </c>
      <c r="Q15" s="178" t="s">
        <v>3</v>
      </c>
      <c r="R15" s="178" t="s">
        <v>3</v>
      </c>
      <c r="S15" s="178" t="s">
        <v>2</v>
      </c>
      <c r="T15" s="178">
        <v>0</v>
      </c>
      <c r="U15" s="178"/>
      <c r="V15" s="178"/>
      <c r="W15" s="178" t="s">
        <v>45</v>
      </c>
      <c r="X15" s="178"/>
      <c r="Y15" s="176" t="s">
        <v>2</v>
      </c>
      <c r="Z15" s="180"/>
    </row>
    <row r="16" spans="1:26" ht="14.25" x14ac:dyDescent="0.2">
      <c r="A16" s="174" t="s">
        <v>156</v>
      </c>
      <c r="B16" s="177" t="s">
        <v>180</v>
      </c>
      <c r="C16" s="176" t="s">
        <v>94</v>
      </c>
      <c r="D16" s="178">
        <v>16</v>
      </c>
      <c r="E16" s="178">
        <v>35</v>
      </c>
      <c r="F16" s="178">
        <v>50</v>
      </c>
      <c r="G16" s="178">
        <v>35</v>
      </c>
      <c r="H16" s="178">
        <v>5</v>
      </c>
      <c r="I16" s="178">
        <v>1</v>
      </c>
      <c r="J16" s="178">
        <v>1439</v>
      </c>
      <c r="K16" s="178">
        <v>30</v>
      </c>
      <c r="L16" s="178"/>
      <c r="M16" s="178" t="s">
        <v>3</v>
      </c>
      <c r="N16" s="178" t="s">
        <v>3</v>
      </c>
      <c r="O16" s="178" t="s">
        <v>3</v>
      </c>
      <c r="P16" s="176" t="s">
        <v>2</v>
      </c>
      <c r="Q16" s="178" t="s">
        <v>3</v>
      </c>
      <c r="R16" s="178" t="s">
        <v>3</v>
      </c>
      <c r="S16" s="178" t="s">
        <v>3</v>
      </c>
      <c r="T16" s="178">
        <v>0</v>
      </c>
      <c r="U16" s="178"/>
      <c r="V16" s="178"/>
      <c r="W16" s="178" t="s">
        <v>45</v>
      </c>
      <c r="X16" s="178"/>
      <c r="Y16" s="176" t="s">
        <v>2</v>
      </c>
      <c r="Z16" s="180"/>
    </row>
    <row r="17" spans="1:26" ht="14.25" x14ac:dyDescent="0.2">
      <c r="A17" s="174" t="s">
        <v>157</v>
      </c>
      <c r="B17" s="177" t="s">
        <v>181</v>
      </c>
      <c r="C17" s="176" t="s">
        <v>94</v>
      </c>
      <c r="D17" s="178">
        <v>47</v>
      </c>
      <c r="E17" s="178">
        <v>30</v>
      </c>
      <c r="F17" s="178">
        <v>130</v>
      </c>
      <c r="G17" s="178">
        <v>80</v>
      </c>
      <c r="H17" s="178">
        <v>5</v>
      </c>
      <c r="I17" s="178">
        <v>0</v>
      </c>
      <c r="J17" s="178">
        <v>1439</v>
      </c>
      <c r="K17" s="178">
        <v>0</v>
      </c>
      <c r="L17" s="178" t="s">
        <v>2</v>
      </c>
      <c r="M17" s="178" t="s">
        <v>3</v>
      </c>
      <c r="N17" s="178" t="s">
        <v>3</v>
      </c>
      <c r="O17" s="178" t="s">
        <v>3</v>
      </c>
      <c r="P17" s="176" t="s">
        <v>2</v>
      </c>
      <c r="Q17" s="178" t="s">
        <v>3</v>
      </c>
      <c r="R17" s="178" t="s">
        <v>2</v>
      </c>
      <c r="S17" s="178" t="s">
        <v>3</v>
      </c>
      <c r="T17" s="178">
        <v>0</v>
      </c>
      <c r="U17" s="178"/>
      <c r="V17" s="178"/>
      <c r="W17" s="178" t="s">
        <v>45</v>
      </c>
      <c r="X17" s="178"/>
      <c r="Y17" s="176" t="s">
        <v>2</v>
      </c>
      <c r="Z17" s="180"/>
    </row>
    <row r="18" spans="1:26" ht="14.25" x14ac:dyDescent="0.2">
      <c r="A18" s="174" t="s">
        <v>9</v>
      </c>
      <c r="B18" s="177" t="s">
        <v>180</v>
      </c>
      <c r="C18" s="176" t="s">
        <v>94</v>
      </c>
      <c r="D18" s="178">
        <v>15</v>
      </c>
      <c r="E18" s="178">
        <v>30</v>
      </c>
      <c r="F18" s="178">
        <v>70</v>
      </c>
      <c r="G18" s="178">
        <v>50</v>
      </c>
      <c r="H18" s="178">
        <v>5</v>
      </c>
      <c r="I18" s="178">
        <v>0</v>
      </c>
      <c r="J18" s="178">
        <v>1439</v>
      </c>
      <c r="K18" s="178">
        <v>0</v>
      </c>
      <c r="L18" s="178" t="s">
        <v>2</v>
      </c>
      <c r="M18" s="178" t="s">
        <v>3</v>
      </c>
      <c r="N18" s="178" t="s">
        <v>3</v>
      </c>
      <c r="O18" s="178" t="s">
        <v>3</v>
      </c>
      <c r="P18" s="176" t="s">
        <v>2</v>
      </c>
      <c r="Q18" s="178" t="s">
        <v>3</v>
      </c>
      <c r="R18" s="178"/>
      <c r="S18" s="178" t="s">
        <v>3</v>
      </c>
      <c r="T18" s="178">
        <v>0</v>
      </c>
      <c r="U18" s="178"/>
      <c r="V18" s="178"/>
      <c r="W18" s="178" t="s">
        <v>45</v>
      </c>
      <c r="X18" s="178"/>
      <c r="Y18" s="176" t="s">
        <v>2</v>
      </c>
      <c r="Z18" s="180"/>
    </row>
    <row r="19" spans="1:26" ht="21.75" customHeight="1" x14ac:dyDescent="0.2">
      <c r="A19" s="174" t="s">
        <v>166</v>
      </c>
      <c r="B19" s="177" t="s">
        <v>180</v>
      </c>
      <c r="C19" s="176" t="s">
        <v>94</v>
      </c>
      <c r="D19" s="178">
        <v>21</v>
      </c>
      <c r="E19" s="178">
        <v>85</v>
      </c>
      <c r="F19" s="178">
        <v>140</v>
      </c>
      <c r="G19" s="178">
        <v>85</v>
      </c>
      <c r="H19" s="178">
        <v>5</v>
      </c>
      <c r="I19" s="178">
        <v>30</v>
      </c>
      <c r="J19" s="178">
        <v>1439</v>
      </c>
      <c r="K19" s="178">
        <v>1439</v>
      </c>
      <c r="L19" s="178" t="s">
        <v>3</v>
      </c>
      <c r="M19" s="178" t="s">
        <v>3</v>
      </c>
      <c r="N19" s="178" t="s">
        <v>3</v>
      </c>
      <c r="O19" s="178" t="s">
        <v>3</v>
      </c>
      <c r="P19" s="176" t="s">
        <v>2</v>
      </c>
      <c r="Q19" s="178" t="s">
        <v>3</v>
      </c>
      <c r="R19" s="178" t="s">
        <v>2</v>
      </c>
      <c r="S19" s="178" t="s">
        <v>3</v>
      </c>
      <c r="T19" s="178">
        <v>0</v>
      </c>
      <c r="U19" s="178"/>
      <c r="V19" s="178"/>
      <c r="W19" s="178" t="s">
        <v>45</v>
      </c>
      <c r="X19" s="178"/>
      <c r="Y19" s="176" t="s">
        <v>2</v>
      </c>
      <c r="Z19" s="180"/>
    </row>
    <row r="20" spans="1:26" ht="14.25" x14ac:dyDescent="0.2">
      <c r="A20" s="174" t="s">
        <v>172</v>
      </c>
      <c r="B20" s="182" t="s">
        <v>180</v>
      </c>
      <c r="C20" s="176" t="s">
        <v>94</v>
      </c>
      <c r="D20" s="178">
        <v>64</v>
      </c>
      <c r="E20" s="178">
        <v>90</v>
      </c>
      <c r="F20" s="186">
        <v>1000</v>
      </c>
      <c r="G20" s="178">
        <v>600</v>
      </c>
      <c r="H20" s="178">
        <v>10</v>
      </c>
      <c r="I20" s="178">
        <v>0</v>
      </c>
      <c r="J20" s="178">
        <v>120</v>
      </c>
      <c r="K20" s="178">
        <v>1</v>
      </c>
      <c r="L20" s="178" t="s">
        <v>3</v>
      </c>
      <c r="M20" s="178" t="s">
        <v>3</v>
      </c>
      <c r="N20" s="178" t="s">
        <v>3</v>
      </c>
      <c r="O20" s="178" t="s">
        <v>3</v>
      </c>
      <c r="P20" s="176" t="s">
        <v>2</v>
      </c>
      <c r="Q20" s="176" t="s">
        <v>2</v>
      </c>
      <c r="R20" s="178"/>
      <c r="S20" s="178" t="s">
        <v>3</v>
      </c>
      <c r="T20" s="178">
        <v>0</v>
      </c>
      <c r="U20" s="178"/>
      <c r="V20" s="178"/>
      <c r="W20" s="178" t="s">
        <v>324</v>
      </c>
      <c r="X20" s="178"/>
      <c r="Y20" s="176" t="s">
        <v>2</v>
      </c>
      <c r="Z20" s="180"/>
    </row>
    <row r="21" spans="1:26" ht="14.25" x14ac:dyDescent="0.2">
      <c r="A21" s="174" t="s">
        <v>334</v>
      </c>
      <c r="B21" s="188" t="s">
        <v>180</v>
      </c>
      <c r="C21" s="176" t="s">
        <v>94</v>
      </c>
      <c r="D21" s="178">
        <v>57</v>
      </c>
      <c r="E21" s="178">
        <v>1</v>
      </c>
      <c r="F21" s="178">
        <v>1</v>
      </c>
      <c r="G21" s="178">
        <v>1</v>
      </c>
      <c r="H21" s="178">
        <v>1</v>
      </c>
      <c r="I21" s="178">
        <v>10</v>
      </c>
      <c r="J21" s="178">
        <v>10</v>
      </c>
      <c r="K21" s="178">
        <v>10</v>
      </c>
      <c r="L21" s="178" t="s">
        <v>3</v>
      </c>
      <c r="M21" s="178" t="s">
        <v>3</v>
      </c>
      <c r="N21" s="178" t="s">
        <v>3</v>
      </c>
      <c r="O21" s="178" t="s">
        <v>3</v>
      </c>
      <c r="P21" s="178" t="s">
        <v>3</v>
      </c>
      <c r="Q21" s="178" t="s">
        <v>3</v>
      </c>
      <c r="R21" s="178" t="s">
        <v>3</v>
      </c>
      <c r="S21" s="178" t="s">
        <v>3</v>
      </c>
      <c r="T21" s="178">
        <v>0</v>
      </c>
      <c r="U21" s="178"/>
      <c r="V21" s="178"/>
      <c r="W21" s="178" t="s">
        <v>25</v>
      </c>
      <c r="X21" s="178"/>
      <c r="Y21" s="176" t="s">
        <v>2</v>
      </c>
      <c r="Z21" s="180"/>
    </row>
    <row r="22" spans="1:26" ht="14.25" x14ac:dyDescent="0.2">
      <c r="A22" s="174" t="s">
        <v>11</v>
      </c>
      <c r="B22" s="182" t="s">
        <v>180</v>
      </c>
      <c r="C22" s="176" t="s">
        <v>94</v>
      </c>
      <c r="D22" s="178">
        <v>9</v>
      </c>
      <c r="E22" s="179">
        <v>1</v>
      </c>
      <c r="F22" s="179">
        <v>1</v>
      </c>
      <c r="G22" s="179">
        <v>1</v>
      </c>
      <c r="H22" s="179">
        <v>1</v>
      </c>
      <c r="I22" s="178">
        <v>90</v>
      </c>
      <c r="J22" s="178">
        <v>180</v>
      </c>
      <c r="K22" s="178">
        <v>120</v>
      </c>
      <c r="L22" s="178" t="s">
        <v>3</v>
      </c>
      <c r="M22" s="178" t="s">
        <v>3</v>
      </c>
      <c r="N22" s="178" t="s">
        <v>3</v>
      </c>
      <c r="O22" s="178" t="s">
        <v>3</v>
      </c>
      <c r="P22" s="178" t="s">
        <v>3</v>
      </c>
      <c r="Q22" s="178" t="s">
        <v>3</v>
      </c>
      <c r="R22" s="178" t="s">
        <v>3</v>
      </c>
      <c r="S22" s="178" t="s">
        <v>3</v>
      </c>
      <c r="T22" s="178">
        <v>0</v>
      </c>
      <c r="U22" s="178"/>
      <c r="V22" s="178"/>
      <c r="W22" s="178" t="s">
        <v>25</v>
      </c>
      <c r="X22" s="178"/>
      <c r="Y22" s="178" t="s">
        <v>3</v>
      </c>
      <c r="Z22" s="180"/>
    </row>
    <row r="23" spans="1:26" ht="14.25" x14ac:dyDescent="0.2">
      <c r="A23" s="174" t="s">
        <v>12</v>
      </c>
      <c r="B23" s="188" t="s">
        <v>180</v>
      </c>
      <c r="C23" s="176" t="s">
        <v>94</v>
      </c>
      <c r="D23" s="178">
        <v>19</v>
      </c>
      <c r="E23" s="178">
        <v>1</v>
      </c>
      <c r="F23" s="178">
        <v>1</v>
      </c>
      <c r="G23" s="178">
        <v>1</v>
      </c>
      <c r="H23" s="178">
        <v>1</v>
      </c>
      <c r="I23" s="178">
        <v>60</v>
      </c>
      <c r="J23" s="178">
        <v>60</v>
      </c>
      <c r="K23" s="178">
        <v>60</v>
      </c>
      <c r="L23" s="178" t="s">
        <v>3</v>
      </c>
      <c r="M23" s="178" t="s">
        <v>3</v>
      </c>
      <c r="N23" s="178" t="s">
        <v>3</v>
      </c>
      <c r="O23" s="178" t="s">
        <v>3</v>
      </c>
      <c r="P23" s="178" t="s">
        <v>3</v>
      </c>
      <c r="Q23" s="178" t="s">
        <v>3</v>
      </c>
      <c r="R23" s="178" t="s">
        <v>3</v>
      </c>
      <c r="S23" s="178" t="s">
        <v>3</v>
      </c>
      <c r="T23" s="178">
        <v>0</v>
      </c>
      <c r="U23" s="178"/>
      <c r="V23" s="178"/>
      <c r="W23" s="178" t="s">
        <v>25</v>
      </c>
      <c r="X23" s="178"/>
      <c r="Y23" s="176" t="s">
        <v>2</v>
      </c>
      <c r="Z23" s="180"/>
    </row>
    <row r="24" spans="1:26" ht="14.25" x14ac:dyDescent="0.2">
      <c r="A24" s="174" t="s">
        <v>655</v>
      </c>
      <c r="B24" s="188" t="s">
        <v>180</v>
      </c>
      <c r="C24" s="176" t="s">
        <v>94</v>
      </c>
      <c r="D24" s="230">
        <v>45</v>
      </c>
      <c r="E24" s="181">
        <v>1</v>
      </c>
      <c r="F24" s="181">
        <v>1</v>
      </c>
      <c r="G24" s="181">
        <v>1</v>
      </c>
      <c r="H24" s="181">
        <v>1</v>
      </c>
      <c r="I24" s="181">
        <v>2</v>
      </c>
      <c r="J24" s="181">
        <v>2</v>
      </c>
      <c r="K24" s="181">
        <v>2</v>
      </c>
      <c r="L24" s="179" t="s">
        <v>3</v>
      </c>
      <c r="M24" s="179" t="s">
        <v>3</v>
      </c>
      <c r="N24" s="179" t="s">
        <v>3</v>
      </c>
      <c r="O24" s="179" t="s">
        <v>3</v>
      </c>
      <c r="P24" s="179" t="s">
        <v>3</v>
      </c>
      <c r="Q24" s="179" t="s">
        <v>3</v>
      </c>
      <c r="R24" s="179" t="s">
        <v>3</v>
      </c>
      <c r="S24" s="179" t="s">
        <v>3</v>
      </c>
      <c r="T24" s="178">
        <v>0</v>
      </c>
      <c r="U24" s="231"/>
      <c r="V24" s="178"/>
      <c r="W24" s="178" t="s">
        <v>25</v>
      </c>
      <c r="X24" s="178"/>
      <c r="Y24" s="176" t="s">
        <v>2</v>
      </c>
      <c r="Z24" s="180"/>
    </row>
    <row r="25" spans="1:26" ht="14.25" x14ac:dyDescent="0.2">
      <c r="A25" s="174" t="s">
        <v>320</v>
      </c>
      <c r="B25" s="188" t="s">
        <v>180</v>
      </c>
      <c r="C25" s="176" t="s">
        <v>94</v>
      </c>
      <c r="D25" s="178">
        <v>39</v>
      </c>
      <c r="E25" s="178">
        <v>1</v>
      </c>
      <c r="F25" s="178">
        <v>1</v>
      </c>
      <c r="G25" s="178">
        <v>1</v>
      </c>
      <c r="H25" s="178">
        <v>1</v>
      </c>
      <c r="I25" s="178">
        <v>65</v>
      </c>
      <c r="J25" s="178">
        <v>65</v>
      </c>
      <c r="K25" s="178">
        <v>65</v>
      </c>
      <c r="L25" s="178" t="s">
        <v>3</v>
      </c>
      <c r="M25" s="178" t="s">
        <v>3</v>
      </c>
      <c r="N25" s="178" t="s">
        <v>3</v>
      </c>
      <c r="O25" s="178" t="s">
        <v>3</v>
      </c>
      <c r="P25" s="178" t="s">
        <v>3</v>
      </c>
      <c r="Q25" s="178" t="s">
        <v>3</v>
      </c>
      <c r="R25" s="178" t="s">
        <v>3</v>
      </c>
      <c r="S25" s="178" t="s">
        <v>2</v>
      </c>
      <c r="T25" s="178">
        <v>0</v>
      </c>
      <c r="U25" s="178"/>
      <c r="V25" s="178"/>
      <c r="W25" s="178" t="s">
        <v>25</v>
      </c>
      <c r="X25" s="178"/>
      <c r="Y25" s="176" t="s">
        <v>2</v>
      </c>
      <c r="Z25" s="180"/>
    </row>
    <row r="26" spans="1:26" ht="14.25" x14ac:dyDescent="0.2">
      <c r="A26" s="190" t="s">
        <v>321</v>
      </c>
      <c r="B26" s="191" t="s">
        <v>180</v>
      </c>
      <c r="C26" s="192" t="s">
        <v>94</v>
      </c>
      <c r="D26" s="195">
        <v>40</v>
      </c>
      <c r="E26" s="195">
        <v>1</v>
      </c>
      <c r="F26" s="195">
        <v>1</v>
      </c>
      <c r="G26" s="195">
        <v>1</v>
      </c>
      <c r="H26" s="195">
        <v>1</v>
      </c>
      <c r="I26" s="195">
        <v>8</v>
      </c>
      <c r="J26" s="195">
        <v>8</v>
      </c>
      <c r="K26" s="195">
        <v>8</v>
      </c>
      <c r="L26" s="195" t="s">
        <v>3</v>
      </c>
      <c r="M26" s="195" t="s">
        <v>3</v>
      </c>
      <c r="N26" s="195" t="s">
        <v>3</v>
      </c>
      <c r="O26" s="195" t="s">
        <v>3</v>
      </c>
      <c r="P26" s="195" t="s">
        <v>3</v>
      </c>
      <c r="Q26" s="195" t="s">
        <v>3</v>
      </c>
      <c r="R26" s="195" t="s">
        <v>3</v>
      </c>
      <c r="S26" s="195" t="s">
        <v>2</v>
      </c>
      <c r="T26" s="195">
        <v>0</v>
      </c>
      <c r="U26" s="195"/>
      <c r="V26" s="195"/>
      <c r="W26" s="195" t="s">
        <v>25</v>
      </c>
      <c r="X26" s="195"/>
      <c r="Y26" s="192" t="s">
        <v>2</v>
      </c>
      <c r="Z26" s="197"/>
    </row>
  </sheetData>
  <conditionalFormatting sqref="G10:H10 G6:H6 G7:J9 D3:J3 D18:J18 G2:K2 G4:J5 D19:K20 G16:K16 N2:N3 U2:V19 X2:Y2 O3:Q3 L11:L18 D13:E17 F4:F17 D22:K23 G11:J15 L3:M3 G17:J17 N15 P14:Q14 O11:O12 P8:Q9 P6:Q6 L9:M9 N7:Q7 L7:L8 L4 P4:Q4 L5:Q5 P20:R20 T20:V20 T22:Z22 R17:R19 P15:P19 S3:T3 S15:T15 P10 P13 S7:T7 S5:T5 Z3:Z20 W3:X19 T23:X23 Z23 T2:T23 X20 S25:X26 Z25:Z26 D25:K26">
    <cfRule type="expression" dxfId="169" priority="40" stopIfTrue="1">
      <formula>MOD(ROW(#REF!),2)=0</formula>
    </cfRule>
  </conditionalFormatting>
  <conditionalFormatting sqref="Q2">
    <cfRule type="expression" dxfId="168" priority="39" stopIfTrue="1">
      <formula>MOD(ROW(#REF!),2)=0</formula>
    </cfRule>
  </conditionalFormatting>
  <conditionalFormatting sqref="F2">
    <cfRule type="expression" dxfId="167" priority="37" stopIfTrue="1">
      <formula>MOD(ROW(#REF!),2)=0</formula>
    </cfRule>
  </conditionalFormatting>
  <conditionalFormatting sqref="C1">
    <cfRule type="expression" dxfId="166" priority="36" stopIfTrue="1">
      <formula>MOD(ROW(#REF!),2)=0</formula>
    </cfRule>
  </conditionalFormatting>
  <conditionalFormatting sqref="I10:J10 L10">
    <cfRule type="expression" dxfId="165" priority="34" stopIfTrue="1">
      <formula>MOD(ROW(#REF!),2)=0</formula>
    </cfRule>
  </conditionalFormatting>
  <conditionalFormatting sqref="I6:J6 L6">
    <cfRule type="expression" dxfId="164" priority="33" stopIfTrue="1">
      <formula>MOD(ROW(#REF!),2)=0</formula>
    </cfRule>
  </conditionalFormatting>
  <conditionalFormatting sqref="A1:B1 E12 O2 R2:S2 D4:E11">
    <cfRule type="expression" dxfId="163" priority="44" stopIfTrue="1">
      <formula>MOD(ROW(#REF!),2)=0</formula>
    </cfRule>
  </conditionalFormatting>
  <conditionalFormatting sqref="D2:E2 M2 P2">
    <cfRule type="expression" dxfId="162" priority="43" stopIfTrue="1">
      <formula>MOD(ROW(#REF!),2)=0</formula>
    </cfRule>
  </conditionalFormatting>
  <conditionalFormatting sqref="Z2">
    <cfRule type="expression" dxfId="161" priority="42" stopIfTrue="1">
      <formula>MOD(ROW(#REF!),2)=0</formula>
    </cfRule>
  </conditionalFormatting>
  <conditionalFormatting sqref="W2">
    <cfRule type="expression" dxfId="160" priority="41" stopIfTrue="1">
      <formula>MOD(ROW(#REF!),2)=0</formula>
    </cfRule>
  </conditionalFormatting>
  <conditionalFormatting sqref="K7:K9 K3:K5 K11:K15">
    <cfRule type="expression" dxfId="159" priority="31" stopIfTrue="1">
      <formula>MOD(ROW(#REF!),2)=0</formula>
    </cfRule>
  </conditionalFormatting>
  <conditionalFormatting sqref="K10">
    <cfRule type="expression" dxfId="158" priority="30" stopIfTrue="1">
      <formula>MOD(ROW(#REF!),2)=0</formula>
    </cfRule>
  </conditionalFormatting>
  <conditionalFormatting sqref="K6">
    <cfRule type="expression" dxfId="157" priority="29" stopIfTrue="1">
      <formula>MOD(ROW(#REF!),2)=0</formula>
    </cfRule>
  </conditionalFormatting>
  <conditionalFormatting sqref="K17:K18">
    <cfRule type="expression" dxfId="156" priority="28" stopIfTrue="1">
      <formula>MOD(ROW(#REF!),2)=0</formula>
    </cfRule>
  </conditionalFormatting>
  <conditionalFormatting sqref="L19:O23 L25:O26">
    <cfRule type="expression" dxfId="155" priority="27" stopIfTrue="1">
      <formula>MOD(ROW(#REF!),2)=0</formula>
    </cfRule>
  </conditionalFormatting>
  <conditionalFormatting sqref="M16:O18">
    <cfRule type="expression" dxfId="154" priority="26" stopIfTrue="1">
      <formula>MOD(ROW(#REF!),2)=0</formula>
    </cfRule>
  </conditionalFormatting>
  <conditionalFormatting sqref="M10:M15">
    <cfRule type="expression" dxfId="153" priority="25" stopIfTrue="1">
      <formula>MOD(ROW(#REF!),2)=0</formula>
    </cfRule>
  </conditionalFormatting>
  <conditionalFormatting sqref="N8:N14">
    <cfRule type="expression" dxfId="152" priority="24" stopIfTrue="1">
      <formula>MOD(ROW(#REF!),2)=0</formula>
    </cfRule>
  </conditionalFormatting>
  <conditionalFormatting sqref="O13:O15">
    <cfRule type="expression" dxfId="151" priority="23" stopIfTrue="1">
      <formula>MOD(ROW(#REF!),2)=0</formula>
    </cfRule>
  </conditionalFormatting>
  <conditionalFormatting sqref="O8:O10">
    <cfRule type="expression" dxfId="150" priority="22" stopIfTrue="1">
      <formula>MOD(ROW(#REF!),2)=0</formula>
    </cfRule>
  </conditionalFormatting>
  <conditionalFormatting sqref="M6:O6">
    <cfRule type="expression" dxfId="149" priority="21" stopIfTrue="1">
      <formula>MOD(ROW(#REF!),2)=0</formula>
    </cfRule>
  </conditionalFormatting>
  <conditionalFormatting sqref="M7:M8">
    <cfRule type="expression" dxfId="148" priority="20" stopIfTrue="1">
      <formula>MOD(ROW(#REF!),2)=0</formula>
    </cfRule>
  </conditionalFormatting>
  <conditionalFormatting sqref="M4:O4">
    <cfRule type="expression" dxfId="147" priority="19" stopIfTrue="1">
      <formula>MOD(ROW(#REF!),2)=0</formula>
    </cfRule>
  </conditionalFormatting>
  <conditionalFormatting sqref="P21:R23 P25:R26">
    <cfRule type="expression" dxfId="146" priority="18" stopIfTrue="1">
      <formula>MOD(ROW(#REF!),2)=0</formula>
    </cfRule>
  </conditionalFormatting>
  <conditionalFormatting sqref="S16:S23">
    <cfRule type="expression" dxfId="145" priority="17" stopIfTrue="1">
      <formula>MOD(ROW(#REF!),2)=0</formula>
    </cfRule>
  </conditionalFormatting>
  <conditionalFormatting sqref="Q15:Q19">
    <cfRule type="expression" dxfId="144" priority="16" stopIfTrue="1">
      <formula>MOD(ROW(#REF!),2)=0</formula>
    </cfRule>
  </conditionalFormatting>
  <conditionalFormatting sqref="R3:R16">
    <cfRule type="expression" dxfId="143" priority="15" stopIfTrue="1">
      <formula>MOD(ROW(#REF!),2)=0</formula>
    </cfRule>
  </conditionalFormatting>
  <conditionalFormatting sqref="S8:S14">
    <cfRule type="expression" dxfId="142" priority="14" stopIfTrue="1">
      <formula>MOD(ROW(#REF!),2)=0</formula>
    </cfRule>
  </conditionalFormatting>
  <conditionalFormatting sqref="Q10:Q13">
    <cfRule type="expression" dxfId="141" priority="13" stopIfTrue="1">
      <formula>MOD(ROW(#REF!),2)=0</formula>
    </cfRule>
  </conditionalFormatting>
  <conditionalFormatting sqref="P11:P12">
    <cfRule type="expression" dxfId="140" priority="12" stopIfTrue="1">
      <formula>MOD(ROW(#REF!),2)=0</formula>
    </cfRule>
  </conditionalFormatting>
  <conditionalFormatting sqref="S6">
    <cfRule type="expression" dxfId="139" priority="11" stopIfTrue="1">
      <formula>MOD(ROW(#REF!),2)=0</formula>
    </cfRule>
  </conditionalFormatting>
  <conditionalFormatting sqref="S4">
    <cfRule type="expression" dxfId="138" priority="10" stopIfTrue="1">
      <formula>MOD(ROW(#REF!),2)=0</formula>
    </cfRule>
  </conditionalFormatting>
  <conditionalFormatting sqref="Y3:Y21">
    <cfRule type="expression" dxfId="137" priority="9" stopIfTrue="1">
      <formula>MOD(ROW(#REF!),2)=0</formula>
    </cfRule>
  </conditionalFormatting>
  <conditionalFormatting sqref="Y23 Y25:Y26">
    <cfRule type="expression" dxfId="136" priority="8" stopIfTrue="1">
      <formula>MOD(ROW(#REF!),2)=0</formula>
    </cfRule>
  </conditionalFormatting>
  <conditionalFormatting sqref="L2">
    <cfRule type="expression" dxfId="135" priority="7" stopIfTrue="1">
      <formula>MOD(ROW(#REF!),2)=0</formula>
    </cfRule>
  </conditionalFormatting>
  <conditionalFormatting sqref="W20">
    <cfRule type="expression" dxfId="134" priority="6" stopIfTrue="1">
      <formula>MOD(ROW(#REF!),2)=0</formula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stopIfTrue="1" id="{FC7651BF-968E-4A30-A62F-1960BE6C2C74}">
            <xm:f>MOD(ROW('OM Table'!#REF!),2)=0</xm:f>
            <x14:dxf>
              <fill>
                <patternFill>
                  <bgColor indexed="11"/>
                </patternFill>
              </fill>
            </x14:dxf>
          </x14:cfRule>
          <xm:sqref>D21:K21 T21:X21 Z21</xm:sqref>
        </x14:conditionalFormatting>
        <x14:conditionalFormatting xmlns:xm="http://schemas.microsoft.com/office/excel/2006/main">
          <x14:cfRule type="expression" priority="5" stopIfTrue="1" id="{D0703907-E40B-44F0-8D2D-FDC4A7919FE4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D24:K24 V24:X24 Z24</xm:sqref>
        </x14:conditionalFormatting>
        <x14:conditionalFormatting xmlns:xm="http://schemas.microsoft.com/office/excel/2006/main">
          <x14:cfRule type="expression" priority="4" stopIfTrue="1" id="{EE1D9331-75DC-473B-BC45-33416915B79D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U24</xm:sqref>
        </x14:conditionalFormatting>
        <x14:conditionalFormatting xmlns:xm="http://schemas.microsoft.com/office/excel/2006/main">
          <x14:cfRule type="expression" priority="3" stopIfTrue="1" id="{DBEA7C77-18C5-4129-B2D1-E37B82176E19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T24</xm:sqref>
        </x14:conditionalFormatting>
        <x14:conditionalFormatting xmlns:xm="http://schemas.microsoft.com/office/excel/2006/main">
          <x14:cfRule type="expression" priority="2" stopIfTrue="1" id="{E2001A15-F675-4296-AB6C-437313F57404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L24:S24</xm:sqref>
        </x14:conditionalFormatting>
        <x14:conditionalFormatting xmlns:xm="http://schemas.microsoft.com/office/excel/2006/main">
          <x14:cfRule type="expression" priority="1" stopIfTrue="1" id="{4156B2A4-8479-493F-A4DE-18406620B000}">
            <xm:f>MOD(ROW(FS!#REF!),2)=0</xm:f>
            <x14:dxf>
              <fill>
                <patternFill>
                  <bgColor indexed="11"/>
                </patternFill>
              </fill>
            </x14:dxf>
          </x14:cfRule>
          <xm:sqref>Y24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A1:Z28"/>
  <sheetViews>
    <sheetView workbookViewId="0">
      <selection activeCell="A26" sqref="A26:XFD26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14.5703125" customWidth="1"/>
    <col min="4" max="4" width="10" customWidth="1"/>
    <col min="6" max="6" width="12.7109375" customWidth="1"/>
    <col min="7" max="7" width="13.85546875" customWidth="1"/>
    <col min="8" max="8" width="17" customWidth="1"/>
    <col min="9" max="9" width="13.7109375" customWidth="1"/>
    <col min="10" max="10" width="12.85546875" customWidth="1"/>
    <col min="12" max="12" width="15.28515625" customWidth="1"/>
    <col min="13" max="13" width="14.7109375" customWidth="1"/>
    <col min="14" max="15" width="13.28515625" customWidth="1"/>
    <col min="16" max="16" width="24.85546875" bestFit="1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176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40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" thickTop="1" x14ac:dyDescent="0.2">
      <c r="A3" s="168" t="s">
        <v>1</v>
      </c>
      <c r="B3" s="169" t="s">
        <v>180</v>
      </c>
      <c r="C3" s="170" t="s">
        <v>94</v>
      </c>
      <c r="D3" s="172">
        <v>5</v>
      </c>
      <c r="E3" s="172">
        <v>30</v>
      </c>
      <c r="F3" s="172">
        <v>250</v>
      </c>
      <c r="G3" s="172">
        <v>160</v>
      </c>
      <c r="H3" s="172">
        <v>5</v>
      </c>
      <c r="I3" s="172">
        <v>0</v>
      </c>
      <c r="J3" s="172">
        <v>1439</v>
      </c>
      <c r="K3" s="172">
        <v>0</v>
      </c>
      <c r="L3" s="172" t="s">
        <v>2</v>
      </c>
      <c r="M3" s="170" t="s">
        <v>2</v>
      </c>
      <c r="N3" s="172" t="s">
        <v>2</v>
      </c>
      <c r="O3" s="172" t="s">
        <v>3</v>
      </c>
      <c r="P3" s="170" t="s">
        <v>2</v>
      </c>
      <c r="Q3" s="170" t="s">
        <v>2</v>
      </c>
      <c r="R3" s="178" t="s">
        <v>3</v>
      </c>
      <c r="S3" s="172" t="s">
        <v>2</v>
      </c>
      <c r="T3" s="178">
        <v>0</v>
      </c>
      <c r="U3" s="172"/>
      <c r="V3" s="172"/>
      <c r="W3" s="172" t="s">
        <v>45</v>
      </c>
      <c r="X3" s="172"/>
      <c r="Y3" s="178" t="s">
        <v>2</v>
      </c>
      <c r="Z3" s="173"/>
    </row>
    <row r="4" spans="1:26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250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8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3</v>
      </c>
      <c r="T4" s="178">
        <v>0</v>
      </c>
      <c r="U4" s="178"/>
      <c r="V4" s="178"/>
      <c r="W4" s="178" t="s">
        <v>45</v>
      </c>
      <c r="X4" s="178"/>
      <c r="Y4" s="178" t="s">
        <v>2</v>
      </c>
      <c r="Z4" s="180"/>
    </row>
    <row r="5" spans="1:26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250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2</v>
      </c>
      <c r="O5" s="178" t="s">
        <v>3</v>
      </c>
      <c r="P5" s="176" t="s">
        <v>2</v>
      </c>
      <c r="Q5" s="176" t="s">
        <v>2</v>
      </c>
      <c r="R5" s="178" t="s">
        <v>3</v>
      </c>
      <c r="S5" s="178" t="s">
        <v>2</v>
      </c>
      <c r="T5" s="178">
        <v>0</v>
      </c>
      <c r="U5" s="178"/>
      <c r="V5" s="178"/>
      <c r="W5" s="178" t="s">
        <v>45</v>
      </c>
      <c r="X5" s="178"/>
      <c r="Y5" s="178" t="s">
        <v>2</v>
      </c>
      <c r="Z5" s="180"/>
    </row>
    <row r="6" spans="1:26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250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3</v>
      </c>
      <c r="T6" s="178">
        <v>0</v>
      </c>
      <c r="U6" s="178"/>
      <c r="V6" s="178"/>
      <c r="W6" s="178" t="s">
        <v>45</v>
      </c>
      <c r="X6" s="178"/>
      <c r="Y6" s="178" t="s">
        <v>2</v>
      </c>
      <c r="Z6" s="180"/>
    </row>
    <row r="7" spans="1:26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250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8" t="s">
        <v>3</v>
      </c>
      <c r="N7" s="178" t="s">
        <v>2</v>
      </c>
      <c r="O7" s="178" t="s">
        <v>3</v>
      </c>
      <c r="P7" s="176" t="s">
        <v>2</v>
      </c>
      <c r="Q7" s="176" t="s">
        <v>2</v>
      </c>
      <c r="R7" s="178" t="s">
        <v>3</v>
      </c>
      <c r="S7" s="178" t="s">
        <v>2</v>
      </c>
      <c r="T7" s="178">
        <v>0</v>
      </c>
      <c r="U7" s="178"/>
      <c r="V7" s="178"/>
      <c r="W7" s="178" t="s">
        <v>45</v>
      </c>
      <c r="X7" s="178"/>
      <c r="Y7" s="178" t="s">
        <v>2</v>
      </c>
      <c r="Z7" s="180"/>
    </row>
    <row r="8" spans="1:26" ht="14.25" x14ac:dyDescent="0.2">
      <c r="A8" s="174" t="s">
        <v>163</v>
      </c>
      <c r="B8" s="177" t="s">
        <v>180</v>
      </c>
      <c r="C8" s="176" t="s">
        <v>94</v>
      </c>
      <c r="D8" s="178">
        <v>12</v>
      </c>
      <c r="E8" s="178">
        <v>30</v>
      </c>
      <c r="F8" s="178">
        <v>250</v>
      </c>
      <c r="G8" s="178">
        <v>200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8" t="s">
        <v>3</v>
      </c>
      <c r="N8" s="178" t="s">
        <v>3</v>
      </c>
      <c r="O8" s="178" t="s">
        <v>3</v>
      </c>
      <c r="P8" s="176" t="s">
        <v>2</v>
      </c>
      <c r="Q8" s="176" t="s">
        <v>2</v>
      </c>
      <c r="R8" s="178" t="s">
        <v>3</v>
      </c>
      <c r="S8" s="178" t="s">
        <v>3</v>
      </c>
      <c r="T8" s="178">
        <v>0</v>
      </c>
      <c r="U8" s="178"/>
      <c r="V8" s="178"/>
      <c r="W8" s="178" t="s">
        <v>45</v>
      </c>
      <c r="X8" s="178"/>
      <c r="Y8" s="178" t="s">
        <v>2</v>
      </c>
      <c r="Z8" s="180"/>
    </row>
    <row r="9" spans="1:26" ht="14.25" x14ac:dyDescent="0.2">
      <c r="A9" s="174" t="s">
        <v>164</v>
      </c>
      <c r="B9" s="177" t="s">
        <v>181</v>
      </c>
      <c r="C9" s="176" t="s">
        <v>94</v>
      </c>
      <c r="D9" s="178">
        <v>4</v>
      </c>
      <c r="E9" s="178">
        <v>30</v>
      </c>
      <c r="F9" s="178">
        <v>250</v>
      </c>
      <c r="G9" s="178">
        <v>190</v>
      </c>
      <c r="H9" s="178">
        <v>5</v>
      </c>
      <c r="I9" s="178">
        <v>0</v>
      </c>
      <c r="J9" s="178">
        <v>1439</v>
      </c>
      <c r="K9" s="178">
        <v>0</v>
      </c>
      <c r="L9" s="178" t="s">
        <v>2</v>
      </c>
      <c r="M9" s="176" t="s">
        <v>2</v>
      </c>
      <c r="N9" s="178" t="s">
        <v>3</v>
      </c>
      <c r="O9" s="178" t="s">
        <v>3</v>
      </c>
      <c r="P9" s="176" t="s">
        <v>2</v>
      </c>
      <c r="Q9" s="176" t="s">
        <v>2</v>
      </c>
      <c r="R9" s="178" t="s">
        <v>3</v>
      </c>
      <c r="S9" s="178" t="s">
        <v>3</v>
      </c>
      <c r="T9" s="178">
        <v>0</v>
      </c>
      <c r="U9" s="178"/>
      <c r="V9" s="178"/>
      <c r="W9" s="178" t="s">
        <v>45</v>
      </c>
      <c r="X9" s="178"/>
      <c r="Y9" s="178" t="s">
        <v>2</v>
      </c>
      <c r="Z9" s="180"/>
    </row>
    <row r="10" spans="1:26" ht="14.25" x14ac:dyDescent="0.2">
      <c r="A10" s="174" t="s">
        <v>165</v>
      </c>
      <c r="B10" s="177" t="s">
        <v>180</v>
      </c>
      <c r="C10" s="176" t="s">
        <v>94</v>
      </c>
      <c r="D10" s="178">
        <v>24</v>
      </c>
      <c r="E10" s="178">
        <v>70</v>
      </c>
      <c r="F10" s="178">
        <v>120</v>
      </c>
      <c r="G10" s="178">
        <v>80</v>
      </c>
      <c r="H10" s="178">
        <v>5</v>
      </c>
      <c r="I10" s="178">
        <v>0</v>
      </c>
      <c r="J10" s="178">
        <v>1439</v>
      </c>
      <c r="K10" s="178">
        <v>0</v>
      </c>
      <c r="L10" s="178" t="s">
        <v>2</v>
      </c>
      <c r="M10" s="178" t="s">
        <v>3</v>
      </c>
      <c r="N10" s="178" t="s">
        <v>3</v>
      </c>
      <c r="O10" s="178" t="s">
        <v>3</v>
      </c>
      <c r="P10" s="176" t="s">
        <v>2</v>
      </c>
      <c r="Q10" s="178" t="s">
        <v>3</v>
      </c>
      <c r="R10" s="178" t="s">
        <v>3</v>
      </c>
      <c r="S10" s="178" t="s">
        <v>3</v>
      </c>
      <c r="T10" s="178">
        <v>0</v>
      </c>
      <c r="U10" s="178"/>
      <c r="V10" s="178"/>
      <c r="W10" s="178" t="s">
        <v>45</v>
      </c>
      <c r="X10" s="178"/>
      <c r="Y10" s="178" t="s">
        <v>2</v>
      </c>
      <c r="Z10" s="180"/>
    </row>
    <row r="11" spans="1:26" ht="14.25" x14ac:dyDescent="0.2">
      <c r="A11" s="174" t="s">
        <v>5</v>
      </c>
      <c r="B11" s="177" t="s">
        <v>180</v>
      </c>
      <c r="C11" s="176" t="s">
        <v>94</v>
      </c>
      <c r="D11" s="178">
        <v>8</v>
      </c>
      <c r="E11" s="179">
        <v>1</v>
      </c>
      <c r="F11" s="179">
        <v>3</v>
      </c>
      <c r="G11" s="179">
        <v>3</v>
      </c>
      <c r="H11" s="179">
        <v>1</v>
      </c>
      <c r="I11" s="178">
        <v>0</v>
      </c>
      <c r="J11" s="178">
        <v>1439</v>
      </c>
      <c r="K11" s="178">
        <v>0</v>
      </c>
      <c r="L11" s="178" t="s">
        <v>2</v>
      </c>
      <c r="M11" s="178" t="s">
        <v>3</v>
      </c>
      <c r="N11" s="178" t="s">
        <v>3</v>
      </c>
      <c r="O11" s="178" t="s">
        <v>3</v>
      </c>
      <c r="P11" s="178" t="s">
        <v>3</v>
      </c>
      <c r="Q11" s="178" t="s">
        <v>3</v>
      </c>
      <c r="R11" s="178" t="s">
        <v>3</v>
      </c>
      <c r="S11" s="178" t="s">
        <v>3</v>
      </c>
      <c r="T11" s="178">
        <v>0</v>
      </c>
      <c r="U11" s="178"/>
      <c r="V11" s="178"/>
      <c r="W11" s="178" t="s">
        <v>45</v>
      </c>
      <c r="X11" s="178"/>
      <c r="Y11" s="178" t="s">
        <v>2</v>
      </c>
      <c r="Z11" s="180"/>
    </row>
    <row r="12" spans="1:26" ht="14.25" x14ac:dyDescent="0.2">
      <c r="A12" s="174" t="s">
        <v>6</v>
      </c>
      <c r="B12" s="177" t="s">
        <v>180</v>
      </c>
      <c r="C12" s="176" t="s">
        <v>94</v>
      </c>
      <c r="D12" s="178">
        <v>7</v>
      </c>
      <c r="E12" s="179">
        <v>1</v>
      </c>
      <c r="F12" s="179">
        <v>3</v>
      </c>
      <c r="G12" s="179">
        <v>3</v>
      </c>
      <c r="H12" s="179">
        <v>1</v>
      </c>
      <c r="I12" s="178">
        <v>0</v>
      </c>
      <c r="J12" s="178">
        <v>1439</v>
      </c>
      <c r="K12" s="178">
        <v>0</v>
      </c>
      <c r="L12" s="178" t="s">
        <v>2</v>
      </c>
      <c r="M12" s="178" t="s">
        <v>3</v>
      </c>
      <c r="N12" s="178" t="s">
        <v>3</v>
      </c>
      <c r="O12" s="178" t="s">
        <v>3</v>
      </c>
      <c r="P12" s="178" t="s">
        <v>3</v>
      </c>
      <c r="Q12" s="178" t="s">
        <v>3</v>
      </c>
      <c r="R12" s="178" t="s">
        <v>3</v>
      </c>
      <c r="S12" s="178" t="s">
        <v>3</v>
      </c>
      <c r="T12" s="178">
        <v>0</v>
      </c>
      <c r="U12" s="178"/>
      <c r="V12" s="178"/>
      <c r="W12" s="178" t="s">
        <v>45</v>
      </c>
      <c r="X12" s="178"/>
      <c r="Y12" s="178" t="s">
        <v>2</v>
      </c>
      <c r="Z12" s="180"/>
    </row>
    <row r="13" spans="1:26" ht="14.25" x14ac:dyDescent="0.2">
      <c r="A13" s="174" t="s">
        <v>10</v>
      </c>
      <c r="B13" s="177" t="s">
        <v>182</v>
      </c>
      <c r="C13" s="176" t="s">
        <v>94</v>
      </c>
      <c r="D13" s="178">
        <v>48</v>
      </c>
      <c r="E13" s="178">
        <v>30</v>
      </c>
      <c r="F13" s="178">
        <v>250</v>
      </c>
      <c r="G13" s="178">
        <v>200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8" t="s">
        <v>3</v>
      </c>
      <c r="N13" s="178" t="s">
        <v>3</v>
      </c>
      <c r="O13" s="178" t="s">
        <v>3</v>
      </c>
      <c r="P13" s="176" t="s">
        <v>2</v>
      </c>
      <c r="Q13" s="178" t="s">
        <v>3</v>
      </c>
      <c r="R13" s="178" t="s">
        <v>3</v>
      </c>
      <c r="S13" s="178" t="s">
        <v>3</v>
      </c>
      <c r="T13" s="178">
        <v>0</v>
      </c>
      <c r="U13" s="178"/>
      <c r="V13" s="178"/>
      <c r="W13" s="178" t="s">
        <v>45</v>
      </c>
      <c r="X13" s="178"/>
      <c r="Y13" s="178" t="s">
        <v>2</v>
      </c>
      <c r="Z13" s="180"/>
    </row>
    <row r="14" spans="1:26" ht="14.25" x14ac:dyDescent="0.2">
      <c r="A14" s="174" t="s">
        <v>7</v>
      </c>
      <c r="B14" s="177" t="s">
        <v>180</v>
      </c>
      <c r="C14" s="176" t="s">
        <v>94</v>
      </c>
      <c r="D14" s="178">
        <v>11</v>
      </c>
      <c r="E14" s="178">
        <v>30</v>
      </c>
      <c r="F14" s="178">
        <v>250</v>
      </c>
      <c r="G14" s="178">
        <v>150</v>
      </c>
      <c r="H14" s="178">
        <v>5</v>
      </c>
      <c r="I14" s="178">
        <v>0</v>
      </c>
      <c r="J14" s="178">
        <v>1439</v>
      </c>
      <c r="K14" s="178">
        <v>0</v>
      </c>
      <c r="L14" s="178" t="s">
        <v>2</v>
      </c>
      <c r="M14" s="178" t="s">
        <v>3</v>
      </c>
      <c r="N14" s="178" t="s">
        <v>3</v>
      </c>
      <c r="O14" s="178" t="s">
        <v>3</v>
      </c>
      <c r="P14" s="176" t="s">
        <v>2</v>
      </c>
      <c r="Q14" s="176" t="s">
        <v>2</v>
      </c>
      <c r="R14" s="178" t="s">
        <v>3</v>
      </c>
      <c r="S14" s="178" t="s">
        <v>3</v>
      </c>
      <c r="T14" s="178">
        <v>0</v>
      </c>
      <c r="U14" s="178"/>
      <c r="V14" s="178"/>
      <c r="W14" s="178" t="s">
        <v>45</v>
      </c>
      <c r="X14" s="178"/>
      <c r="Y14" s="178" t="s">
        <v>2</v>
      </c>
      <c r="Z14" s="180"/>
    </row>
    <row r="15" spans="1:26" ht="14.25" x14ac:dyDescent="0.2">
      <c r="A15" s="174" t="s">
        <v>8</v>
      </c>
      <c r="B15" s="177" t="s">
        <v>180</v>
      </c>
      <c r="C15" s="176" t="s">
        <v>94</v>
      </c>
      <c r="D15" s="178">
        <v>14</v>
      </c>
      <c r="E15" s="178">
        <v>50</v>
      </c>
      <c r="F15" s="178">
        <v>100</v>
      </c>
      <c r="G15" s="178">
        <v>65</v>
      </c>
      <c r="H15" s="178">
        <v>5</v>
      </c>
      <c r="I15" s="178">
        <v>0</v>
      </c>
      <c r="J15" s="178">
        <v>1439</v>
      </c>
      <c r="K15" s="178">
        <v>0</v>
      </c>
      <c r="L15" s="178" t="s">
        <v>2</v>
      </c>
      <c r="M15" s="178" t="s">
        <v>3</v>
      </c>
      <c r="N15" s="178" t="s">
        <v>2</v>
      </c>
      <c r="O15" s="178" t="s">
        <v>3</v>
      </c>
      <c r="P15" s="176" t="s">
        <v>2</v>
      </c>
      <c r="Q15" s="178" t="s">
        <v>3</v>
      </c>
      <c r="R15" s="178" t="s">
        <v>3</v>
      </c>
      <c r="S15" s="178" t="s">
        <v>2</v>
      </c>
      <c r="T15" s="178">
        <v>0</v>
      </c>
      <c r="U15" s="178"/>
      <c r="V15" s="178"/>
      <c r="W15" s="178" t="s">
        <v>45</v>
      </c>
      <c r="X15" s="178"/>
      <c r="Y15" s="178" t="s">
        <v>2</v>
      </c>
      <c r="Z15" s="180"/>
    </row>
    <row r="16" spans="1:26" ht="14.25" x14ac:dyDescent="0.2">
      <c r="A16" s="174" t="s">
        <v>157</v>
      </c>
      <c r="B16" s="177" t="s">
        <v>181</v>
      </c>
      <c r="C16" s="176" t="s">
        <v>94</v>
      </c>
      <c r="D16" s="178">
        <v>47</v>
      </c>
      <c r="E16" s="178">
        <v>30</v>
      </c>
      <c r="F16" s="178">
        <v>130</v>
      </c>
      <c r="G16" s="178">
        <v>80</v>
      </c>
      <c r="H16" s="178">
        <v>5</v>
      </c>
      <c r="I16" s="178">
        <v>0</v>
      </c>
      <c r="J16" s="178">
        <v>1439</v>
      </c>
      <c r="K16" s="178">
        <v>0</v>
      </c>
      <c r="L16" s="178" t="s">
        <v>2</v>
      </c>
      <c r="M16" s="178" t="s">
        <v>3</v>
      </c>
      <c r="N16" s="178" t="s">
        <v>3</v>
      </c>
      <c r="O16" s="178" t="s">
        <v>3</v>
      </c>
      <c r="P16" s="176" t="s">
        <v>2</v>
      </c>
      <c r="Q16" s="178" t="s">
        <v>3</v>
      </c>
      <c r="R16" s="178" t="s">
        <v>2</v>
      </c>
      <c r="S16" s="178" t="s">
        <v>3</v>
      </c>
      <c r="T16" s="178">
        <v>0</v>
      </c>
      <c r="U16" s="178"/>
      <c r="V16" s="178"/>
      <c r="W16" s="178" t="s">
        <v>45</v>
      </c>
      <c r="X16" s="178"/>
      <c r="Y16" s="178" t="s">
        <v>2</v>
      </c>
      <c r="Z16" s="180"/>
    </row>
    <row r="17" spans="1:26" ht="14.25" x14ac:dyDescent="0.2">
      <c r="A17" s="174" t="s">
        <v>9</v>
      </c>
      <c r="B17" s="177" t="s">
        <v>180</v>
      </c>
      <c r="C17" s="176" t="s">
        <v>94</v>
      </c>
      <c r="D17" s="178">
        <v>15</v>
      </c>
      <c r="E17" s="178">
        <v>30</v>
      </c>
      <c r="F17" s="178">
        <v>70</v>
      </c>
      <c r="G17" s="178">
        <v>50</v>
      </c>
      <c r="H17" s="178">
        <v>5</v>
      </c>
      <c r="I17" s="178">
        <v>0</v>
      </c>
      <c r="J17" s="178">
        <v>1439</v>
      </c>
      <c r="K17" s="178">
        <v>0</v>
      </c>
      <c r="L17" s="178" t="s">
        <v>2</v>
      </c>
      <c r="M17" s="178" t="s">
        <v>3</v>
      </c>
      <c r="N17" s="178" t="s">
        <v>3</v>
      </c>
      <c r="O17" s="178" t="s">
        <v>3</v>
      </c>
      <c r="P17" s="176" t="s">
        <v>2</v>
      </c>
      <c r="Q17" s="178" t="s">
        <v>3</v>
      </c>
      <c r="R17" s="178" t="s">
        <v>3</v>
      </c>
      <c r="S17" s="178" t="s">
        <v>3</v>
      </c>
      <c r="T17" s="178">
        <v>0</v>
      </c>
      <c r="U17" s="178"/>
      <c r="V17" s="178"/>
      <c r="W17" s="178" t="s">
        <v>45</v>
      </c>
      <c r="X17" s="178"/>
      <c r="Y17" s="178" t="s">
        <v>2</v>
      </c>
      <c r="Z17" s="180"/>
    </row>
    <row r="18" spans="1:26" ht="14.25" x14ac:dyDescent="0.2">
      <c r="A18" s="174" t="s">
        <v>166</v>
      </c>
      <c r="B18" s="177" t="s">
        <v>180</v>
      </c>
      <c r="C18" s="176" t="s">
        <v>94</v>
      </c>
      <c r="D18" s="178">
        <v>21</v>
      </c>
      <c r="E18" s="178">
        <v>85</v>
      </c>
      <c r="F18" s="178">
        <v>140</v>
      </c>
      <c r="G18" s="178">
        <v>85</v>
      </c>
      <c r="H18" s="178">
        <v>5</v>
      </c>
      <c r="I18" s="178">
        <v>30</v>
      </c>
      <c r="J18" s="178">
        <v>1439</v>
      </c>
      <c r="K18" s="178">
        <v>1439</v>
      </c>
      <c r="L18" s="178" t="s">
        <v>3</v>
      </c>
      <c r="M18" s="178" t="s">
        <v>3</v>
      </c>
      <c r="N18" s="178" t="s">
        <v>3</v>
      </c>
      <c r="O18" s="178" t="s">
        <v>3</v>
      </c>
      <c r="P18" s="176" t="s">
        <v>2</v>
      </c>
      <c r="Q18" s="178" t="s">
        <v>3</v>
      </c>
      <c r="R18" s="178" t="s">
        <v>2</v>
      </c>
      <c r="S18" s="178" t="s">
        <v>3</v>
      </c>
      <c r="T18" s="178">
        <v>0</v>
      </c>
      <c r="U18" s="178"/>
      <c r="V18" s="178"/>
      <c r="W18" s="178" t="s">
        <v>45</v>
      </c>
      <c r="X18" s="178"/>
      <c r="Y18" s="178" t="s">
        <v>2</v>
      </c>
      <c r="Z18" s="180"/>
    </row>
    <row r="19" spans="1:26" ht="14.25" x14ac:dyDescent="0.2">
      <c r="A19" s="174" t="s">
        <v>167</v>
      </c>
      <c r="B19" s="182" t="s">
        <v>180</v>
      </c>
      <c r="C19" s="176" t="s">
        <v>94</v>
      </c>
      <c r="D19" s="178">
        <v>32</v>
      </c>
      <c r="E19" s="178">
        <v>30</v>
      </c>
      <c r="F19" s="178">
        <v>100</v>
      </c>
      <c r="G19" s="178">
        <v>100</v>
      </c>
      <c r="H19" s="178">
        <v>5</v>
      </c>
      <c r="I19" s="178">
        <v>1</v>
      </c>
      <c r="J19" s="178">
        <v>240</v>
      </c>
      <c r="K19" s="178">
        <v>20</v>
      </c>
      <c r="L19" s="178" t="s">
        <v>3</v>
      </c>
      <c r="M19" s="178" t="s">
        <v>3</v>
      </c>
      <c r="N19" s="178" t="s">
        <v>3</v>
      </c>
      <c r="O19" s="178" t="s">
        <v>3</v>
      </c>
      <c r="P19" s="176" t="s">
        <v>2</v>
      </c>
      <c r="Q19" s="176" t="s">
        <v>2</v>
      </c>
      <c r="R19" s="178" t="s">
        <v>3</v>
      </c>
      <c r="S19" s="178" t="s">
        <v>2</v>
      </c>
      <c r="T19" s="178">
        <v>1</v>
      </c>
      <c r="U19" s="178"/>
      <c r="V19" s="178"/>
      <c r="W19" s="178" t="s">
        <v>190</v>
      </c>
      <c r="X19" s="178"/>
      <c r="Y19" s="178" t="s">
        <v>2</v>
      </c>
      <c r="Z19" s="180"/>
    </row>
    <row r="20" spans="1:26" ht="14.25" x14ac:dyDescent="0.2">
      <c r="A20" s="174" t="s">
        <v>663</v>
      </c>
      <c r="B20" s="182" t="s">
        <v>180</v>
      </c>
      <c r="C20" s="176" t="s">
        <v>94</v>
      </c>
      <c r="D20" s="178">
        <v>65</v>
      </c>
      <c r="E20" s="178">
        <v>105</v>
      </c>
      <c r="F20" s="178">
        <v>120</v>
      </c>
      <c r="G20" s="178">
        <v>120</v>
      </c>
      <c r="H20" s="178">
        <v>5</v>
      </c>
      <c r="I20" s="178">
        <v>1</v>
      </c>
      <c r="J20" s="178">
        <v>240</v>
      </c>
      <c r="K20" s="178">
        <v>20</v>
      </c>
      <c r="L20" s="178" t="s">
        <v>3</v>
      </c>
      <c r="M20" s="178" t="s">
        <v>3</v>
      </c>
      <c r="N20" s="178" t="s">
        <v>3</v>
      </c>
      <c r="O20" s="178" t="s">
        <v>3</v>
      </c>
      <c r="P20" s="176" t="s">
        <v>2</v>
      </c>
      <c r="Q20" s="176" t="s">
        <v>2</v>
      </c>
      <c r="R20" s="178" t="s">
        <v>3</v>
      </c>
      <c r="S20" s="178" t="s">
        <v>2</v>
      </c>
      <c r="T20" s="178">
        <v>1</v>
      </c>
      <c r="U20" s="178"/>
      <c r="V20" s="178"/>
      <c r="W20" s="178" t="s">
        <v>190</v>
      </c>
      <c r="X20" s="178"/>
      <c r="Y20" s="178" t="s">
        <v>2</v>
      </c>
      <c r="Z20" s="180"/>
    </row>
    <row r="21" spans="1:26" ht="14.25" x14ac:dyDescent="0.2">
      <c r="A21" s="174" t="s">
        <v>168</v>
      </c>
      <c r="B21" s="177" t="s">
        <v>180</v>
      </c>
      <c r="C21" s="176" t="s">
        <v>94</v>
      </c>
      <c r="D21" s="178">
        <v>37</v>
      </c>
      <c r="E21" s="178">
        <v>80</v>
      </c>
      <c r="F21" s="178">
        <v>180</v>
      </c>
      <c r="G21" s="178">
        <v>120</v>
      </c>
      <c r="H21" s="178">
        <v>5</v>
      </c>
      <c r="I21" s="178">
        <v>1</v>
      </c>
      <c r="J21" s="178">
        <v>240</v>
      </c>
      <c r="K21" s="178">
        <v>10</v>
      </c>
      <c r="L21" s="178" t="s">
        <v>3</v>
      </c>
      <c r="M21" s="178" t="s">
        <v>3</v>
      </c>
      <c r="N21" s="178" t="s">
        <v>3</v>
      </c>
      <c r="O21" s="178" t="s">
        <v>3</v>
      </c>
      <c r="P21" s="176" t="s">
        <v>2</v>
      </c>
      <c r="Q21" s="176" t="s">
        <v>2</v>
      </c>
      <c r="R21" s="178" t="s">
        <v>3</v>
      </c>
      <c r="S21" s="178" t="s">
        <v>2</v>
      </c>
      <c r="T21" s="178">
        <v>1</v>
      </c>
      <c r="U21" s="178"/>
      <c r="V21" s="178"/>
      <c r="W21" s="178" t="s">
        <v>190</v>
      </c>
      <c r="X21" s="178"/>
      <c r="Y21" s="178" t="s">
        <v>2</v>
      </c>
      <c r="Z21" s="180"/>
    </row>
    <row r="22" spans="1:26" ht="14.25" x14ac:dyDescent="0.2">
      <c r="A22" s="174" t="s">
        <v>156</v>
      </c>
      <c r="B22" s="177" t="s">
        <v>180</v>
      </c>
      <c r="C22" s="176" t="s">
        <v>94</v>
      </c>
      <c r="D22" s="178">
        <v>51</v>
      </c>
      <c r="E22" s="178">
        <v>30</v>
      </c>
      <c r="F22" s="178">
        <v>50</v>
      </c>
      <c r="G22" s="178">
        <v>40</v>
      </c>
      <c r="H22" s="178">
        <v>5</v>
      </c>
      <c r="I22" s="178">
        <v>1</v>
      </c>
      <c r="J22" s="178">
        <v>240</v>
      </c>
      <c r="K22" s="178">
        <v>30</v>
      </c>
      <c r="L22" s="178" t="s">
        <v>3</v>
      </c>
      <c r="M22" s="178" t="s">
        <v>3</v>
      </c>
      <c r="N22" s="178" t="s">
        <v>3</v>
      </c>
      <c r="O22" s="178" t="s">
        <v>3</v>
      </c>
      <c r="P22" s="176" t="s">
        <v>2</v>
      </c>
      <c r="Q22" s="178" t="s">
        <v>3</v>
      </c>
      <c r="R22" s="178" t="s">
        <v>3</v>
      </c>
      <c r="S22" s="178" t="s">
        <v>2</v>
      </c>
      <c r="T22" s="178">
        <v>1</v>
      </c>
      <c r="U22" s="178"/>
      <c r="V22" s="178"/>
      <c r="W22" s="178" t="s">
        <v>190</v>
      </c>
      <c r="X22" s="178"/>
      <c r="Y22" s="178" t="s">
        <v>2</v>
      </c>
      <c r="Z22" s="180"/>
    </row>
    <row r="23" spans="1:26" ht="14.25" x14ac:dyDescent="0.2">
      <c r="A23" s="174" t="s">
        <v>169</v>
      </c>
      <c r="B23" s="177" t="s">
        <v>180</v>
      </c>
      <c r="C23" s="176" t="s">
        <v>94</v>
      </c>
      <c r="D23" s="178">
        <v>63</v>
      </c>
      <c r="E23" s="178">
        <v>50</v>
      </c>
      <c r="F23" s="178">
        <v>95</v>
      </c>
      <c r="G23" s="178">
        <v>60</v>
      </c>
      <c r="H23" s="178">
        <v>5</v>
      </c>
      <c r="I23" s="178">
        <v>1</v>
      </c>
      <c r="J23" s="178">
        <v>240</v>
      </c>
      <c r="K23" s="178">
        <v>60</v>
      </c>
      <c r="L23" s="178" t="s">
        <v>3</v>
      </c>
      <c r="M23" s="178" t="s">
        <v>3</v>
      </c>
      <c r="N23" s="178" t="s">
        <v>3</v>
      </c>
      <c r="O23" s="178" t="s">
        <v>3</v>
      </c>
      <c r="P23" s="176" t="s">
        <v>2</v>
      </c>
      <c r="Q23" s="176" t="s">
        <v>2</v>
      </c>
      <c r="R23" s="178" t="s">
        <v>3</v>
      </c>
      <c r="S23" s="178" t="s">
        <v>2</v>
      </c>
      <c r="T23" s="178">
        <v>1</v>
      </c>
      <c r="U23" s="178"/>
      <c r="V23" s="178"/>
      <c r="W23" s="178" t="s">
        <v>190</v>
      </c>
      <c r="X23" s="178"/>
      <c r="Y23" s="178" t="s">
        <v>2</v>
      </c>
      <c r="Z23" s="180"/>
    </row>
    <row r="24" spans="1:26" ht="14.25" x14ac:dyDescent="0.2">
      <c r="A24" s="174" t="s">
        <v>175</v>
      </c>
      <c r="B24" s="177" t="s">
        <v>180</v>
      </c>
      <c r="C24" s="176" t="s">
        <v>94</v>
      </c>
      <c r="D24" s="178">
        <v>53</v>
      </c>
      <c r="E24" s="178">
        <v>30</v>
      </c>
      <c r="F24" s="178">
        <v>60</v>
      </c>
      <c r="G24" s="178">
        <v>30</v>
      </c>
      <c r="H24" s="178">
        <v>5</v>
      </c>
      <c r="I24" s="178">
        <v>1</v>
      </c>
      <c r="J24" s="178">
        <v>240</v>
      </c>
      <c r="K24" s="178">
        <v>30</v>
      </c>
      <c r="L24" s="178" t="s">
        <v>3</v>
      </c>
      <c r="M24" s="178" t="s">
        <v>3</v>
      </c>
      <c r="N24" s="178" t="s">
        <v>3</v>
      </c>
      <c r="O24" s="178" t="s">
        <v>3</v>
      </c>
      <c r="P24" s="176" t="s">
        <v>2</v>
      </c>
      <c r="Q24" s="178" t="s">
        <v>3</v>
      </c>
      <c r="R24" s="178" t="s">
        <v>3</v>
      </c>
      <c r="S24" s="178" t="s">
        <v>2</v>
      </c>
      <c r="T24" s="178">
        <v>1</v>
      </c>
      <c r="U24" s="178"/>
      <c r="V24" s="178"/>
      <c r="W24" s="185" t="s">
        <v>190</v>
      </c>
      <c r="X24" s="178"/>
      <c r="Y24" s="178" t="s">
        <v>2</v>
      </c>
      <c r="Z24" s="180"/>
    </row>
    <row r="25" spans="1:26" ht="14.25" x14ac:dyDescent="0.2">
      <c r="A25" s="174" t="s">
        <v>12</v>
      </c>
      <c r="B25" s="188" t="s">
        <v>180</v>
      </c>
      <c r="C25" s="176" t="s">
        <v>94</v>
      </c>
      <c r="D25" s="178">
        <v>19</v>
      </c>
      <c r="E25" s="178">
        <v>1</v>
      </c>
      <c r="F25" s="178">
        <v>1</v>
      </c>
      <c r="G25" s="178">
        <v>1</v>
      </c>
      <c r="H25" s="178">
        <v>1</v>
      </c>
      <c r="I25" s="178">
        <v>60</v>
      </c>
      <c r="J25" s="178">
        <v>60</v>
      </c>
      <c r="K25" s="178">
        <v>60</v>
      </c>
      <c r="L25" s="178" t="s">
        <v>3</v>
      </c>
      <c r="M25" s="178" t="s">
        <v>3</v>
      </c>
      <c r="N25" s="178" t="s">
        <v>3</v>
      </c>
      <c r="O25" s="178" t="s">
        <v>3</v>
      </c>
      <c r="P25" s="178" t="s">
        <v>3</v>
      </c>
      <c r="Q25" s="178" t="s">
        <v>3</v>
      </c>
      <c r="R25" s="178" t="s">
        <v>3</v>
      </c>
      <c r="S25" s="178" t="s">
        <v>3</v>
      </c>
      <c r="T25" s="178">
        <v>0</v>
      </c>
      <c r="U25" s="178"/>
      <c r="V25" s="178"/>
      <c r="W25" s="178" t="s">
        <v>25</v>
      </c>
      <c r="X25" s="178"/>
      <c r="Y25" s="178" t="s">
        <v>2</v>
      </c>
      <c r="Z25" s="180"/>
    </row>
    <row r="26" spans="1:26" ht="14.25" x14ac:dyDescent="0.2">
      <c r="A26" s="174" t="s">
        <v>655</v>
      </c>
      <c r="B26" s="188" t="s">
        <v>180</v>
      </c>
      <c r="C26" s="176" t="s">
        <v>94</v>
      </c>
      <c r="D26" s="230">
        <v>45</v>
      </c>
      <c r="E26" s="181">
        <v>1</v>
      </c>
      <c r="F26" s="181">
        <v>1</v>
      </c>
      <c r="G26" s="181">
        <v>1</v>
      </c>
      <c r="H26" s="181">
        <v>1</v>
      </c>
      <c r="I26" s="181">
        <v>2</v>
      </c>
      <c r="J26" s="181">
        <v>2</v>
      </c>
      <c r="K26" s="181">
        <v>2</v>
      </c>
      <c r="L26" s="179" t="s">
        <v>3</v>
      </c>
      <c r="M26" s="179" t="s">
        <v>3</v>
      </c>
      <c r="N26" s="179" t="s">
        <v>3</v>
      </c>
      <c r="O26" s="179" t="s">
        <v>3</v>
      </c>
      <c r="P26" s="179" t="s">
        <v>3</v>
      </c>
      <c r="Q26" s="179" t="s">
        <v>3</v>
      </c>
      <c r="R26" s="179" t="s">
        <v>3</v>
      </c>
      <c r="S26" s="179" t="s">
        <v>3</v>
      </c>
      <c r="T26" s="178">
        <v>0</v>
      </c>
      <c r="U26" s="231"/>
      <c r="V26" s="178"/>
      <c r="W26" s="178" t="s">
        <v>25</v>
      </c>
      <c r="X26" s="178"/>
      <c r="Y26" s="176" t="s">
        <v>2</v>
      </c>
      <c r="Z26" s="180"/>
    </row>
    <row r="27" spans="1:26" ht="14.25" x14ac:dyDescent="0.2">
      <c r="A27" s="174" t="s">
        <v>320</v>
      </c>
      <c r="B27" s="188" t="s">
        <v>180</v>
      </c>
      <c r="C27" s="176" t="s">
        <v>94</v>
      </c>
      <c r="D27" s="178">
        <v>39</v>
      </c>
      <c r="E27" s="178">
        <v>1</v>
      </c>
      <c r="F27" s="178">
        <v>1</v>
      </c>
      <c r="G27" s="178">
        <v>1</v>
      </c>
      <c r="H27" s="178">
        <v>1</v>
      </c>
      <c r="I27" s="178">
        <v>65</v>
      </c>
      <c r="J27" s="178">
        <v>65</v>
      </c>
      <c r="K27" s="178">
        <v>65</v>
      </c>
      <c r="L27" s="178" t="s">
        <v>3</v>
      </c>
      <c r="M27" s="178" t="s">
        <v>3</v>
      </c>
      <c r="N27" s="178" t="s">
        <v>3</v>
      </c>
      <c r="O27" s="178" t="s">
        <v>3</v>
      </c>
      <c r="P27" s="178" t="s">
        <v>3</v>
      </c>
      <c r="Q27" s="178" t="s">
        <v>3</v>
      </c>
      <c r="R27" s="178" t="s">
        <v>3</v>
      </c>
      <c r="S27" s="178" t="s">
        <v>2</v>
      </c>
      <c r="T27" s="178">
        <v>0</v>
      </c>
      <c r="U27" s="178"/>
      <c r="V27" s="178"/>
      <c r="W27" s="178" t="s">
        <v>25</v>
      </c>
      <c r="X27" s="178"/>
      <c r="Y27" s="178" t="s">
        <v>2</v>
      </c>
      <c r="Z27" s="180"/>
    </row>
    <row r="28" spans="1:26" ht="14.25" x14ac:dyDescent="0.2">
      <c r="A28" s="190" t="s">
        <v>321</v>
      </c>
      <c r="B28" s="191" t="s">
        <v>180</v>
      </c>
      <c r="C28" s="192" t="s">
        <v>94</v>
      </c>
      <c r="D28" s="195">
        <v>40</v>
      </c>
      <c r="E28" s="195">
        <v>1</v>
      </c>
      <c r="F28" s="195">
        <v>1</v>
      </c>
      <c r="G28" s="195">
        <v>1</v>
      </c>
      <c r="H28" s="195">
        <v>1</v>
      </c>
      <c r="I28" s="195">
        <v>8</v>
      </c>
      <c r="J28" s="195">
        <v>8</v>
      </c>
      <c r="K28" s="195">
        <v>8</v>
      </c>
      <c r="L28" s="195" t="s">
        <v>3</v>
      </c>
      <c r="M28" s="195" t="s">
        <v>3</v>
      </c>
      <c r="N28" s="195" t="s">
        <v>3</v>
      </c>
      <c r="O28" s="195" t="s">
        <v>3</v>
      </c>
      <c r="P28" s="195" t="s">
        <v>3</v>
      </c>
      <c r="Q28" s="195" t="s">
        <v>3</v>
      </c>
      <c r="R28" s="195" t="s">
        <v>3</v>
      </c>
      <c r="S28" s="195" t="s">
        <v>2</v>
      </c>
      <c r="T28" s="195">
        <v>0</v>
      </c>
      <c r="U28" s="195"/>
      <c r="V28" s="195"/>
      <c r="W28" s="195" t="s">
        <v>25</v>
      </c>
      <c r="X28" s="195"/>
      <c r="Y28" s="195" t="s">
        <v>2</v>
      </c>
      <c r="Z28" s="197"/>
    </row>
  </sheetData>
  <conditionalFormatting sqref="A1:B1 E12 O2 R2:S2 F4:F10 D4:E11 G10:H10 G6:H6 G7:J9 D3:J3 D17:J17 G2:K2 G4:J5 L11:L17 D13:F16 G11:J16 N2:N3 U2:V19 X2:Y2 O3:Q3 D18:K19 L3:M3 L7:L9 M9 L4 L5:N5 N7 N15 P14:Q14 P24 P19:Q19 S19:T19 S21:X24 P23:Q23 P22 P15:P18 S15 R16 R18 P13 P10 S3 S7 S5 S27:S28 Z3:Z19 W3:X19 U25:X25 Z21:Z25 P21:Q21 D21:K25 P4:Q9 D27:K28 Z27:Z28 U27:X28">
    <cfRule type="expression" dxfId="127" priority="64" stopIfTrue="1">
      <formula>MOD(ROW(#REF!),2)=0</formula>
    </cfRule>
  </conditionalFormatting>
  <conditionalFormatting sqref="D2:E2 M2 P2">
    <cfRule type="expression" dxfId="126" priority="63" stopIfTrue="1">
      <formula>MOD(ROW(#REF!),2)=0</formula>
    </cfRule>
  </conditionalFormatting>
  <conditionalFormatting sqref="Z2">
    <cfRule type="expression" dxfId="125" priority="62" stopIfTrue="1">
      <formula>MOD(ROW(#REF!),2)=0</formula>
    </cfRule>
  </conditionalFormatting>
  <conditionalFormatting sqref="W2">
    <cfRule type="expression" dxfId="124" priority="61" stopIfTrue="1">
      <formula>MOD(ROW(#REF!),2)=0</formula>
    </cfRule>
  </conditionalFormatting>
  <conditionalFormatting sqref="T2">
    <cfRule type="expression" dxfId="123" priority="60" stopIfTrue="1">
      <formula>MOD(ROW(#REF!),2)=0</formula>
    </cfRule>
  </conditionalFormatting>
  <conditionalFormatting sqref="Q2">
    <cfRule type="expression" dxfId="122" priority="59" stopIfTrue="1">
      <formula>MOD(ROW(#REF!),2)=0</formula>
    </cfRule>
  </conditionalFormatting>
  <conditionalFormatting sqref="F2">
    <cfRule type="expression" dxfId="121" priority="55" stopIfTrue="1">
      <formula>MOD(ROW(#REF!),2)=0</formula>
    </cfRule>
  </conditionalFormatting>
  <conditionalFormatting sqref="F11:F12">
    <cfRule type="expression" dxfId="120" priority="54" stopIfTrue="1">
      <formula>MOD(ROW(#REF!),2)=0</formula>
    </cfRule>
  </conditionalFormatting>
  <conditionalFormatting sqref="I10:J10 L10">
    <cfRule type="expression" dxfId="119" priority="49" stopIfTrue="1">
      <formula>MOD(ROW(#REF!),2)=0</formula>
    </cfRule>
  </conditionalFormatting>
  <conditionalFormatting sqref="I6:J6 L6">
    <cfRule type="expression" dxfId="118" priority="48" stopIfTrue="1">
      <formula>MOD(ROW(#REF!),2)=0</formula>
    </cfRule>
  </conditionalFormatting>
  <conditionalFormatting sqref="C1">
    <cfRule type="expression" dxfId="117" priority="51" stopIfTrue="1">
      <formula>MOD(ROW(#REF!),2)=0</formula>
    </cfRule>
  </conditionalFormatting>
  <conditionalFormatting sqref="K7:K9 K3:K5 K11:K17">
    <cfRule type="expression" dxfId="116" priority="41" stopIfTrue="1">
      <formula>MOD(ROW(#REF!),2)=0</formula>
    </cfRule>
  </conditionalFormatting>
  <conditionalFormatting sqref="K10">
    <cfRule type="expression" dxfId="115" priority="40" stopIfTrue="1">
      <formula>MOD(ROW(#REF!),2)=0</formula>
    </cfRule>
  </conditionalFormatting>
  <conditionalFormatting sqref="K6">
    <cfRule type="expression" dxfId="114" priority="39" stopIfTrue="1">
      <formula>MOD(ROW(#REF!),2)=0</formula>
    </cfRule>
  </conditionalFormatting>
  <conditionalFormatting sqref="L18:O19 L21:O25 L27:O28">
    <cfRule type="expression" dxfId="113" priority="38" stopIfTrue="1">
      <formula>MOD(ROW(#REF!),2)=0</formula>
    </cfRule>
  </conditionalFormatting>
  <conditionalFormatting sqref="M10:M17">
    <cfRule type="expression" dxfId="112" priority="37" stopIfTrue="1">
      <formula>MOD(ROW(#REF!),2)=0</formula>
    </cfRule>
  </conditionalFormatting>
  <conditionalFormatting sqref="M6:M8">
    <cfRule type="expression" dxfId="111" priority="36" stopIfTrue="1">
      <formula>MOD(ROW(#REF!),2)=0</formula>
    </cfRule>
  </conditionalFormatting>
  <conditionalFormatting sqref="M4:O4 O5:O13">
    <cfRule type="expression" dxfId="110" priority="35" stopIfTrue="1">
      <formula>MOD(ROW(#REF!),2)=0</formula>
    </cfRule>
  </conditionalFormatting>
  <conditionalFormatting sqref="N6">
    <cfRule type="expression" dxfId="109" priority="34" stopIfTrue="1">
      <formula>MOD(ROW(#REF!),2)=0</formula>
    </cfRule>
  </conditionalFormatting>
  <conditionalFormatting sqref="N8:N14">
    <cfRule type="expression" dxfId="108" priority="33" stopIfTrue="1">
      <formula>MOD(ROW(#REF!),2)=0</formula>
    </cfRule>
  </conditionalFormatting>
  <conditionalFormatting sqref="O14:O17">
    <cfRule type="expression" dxfId="107" priority="31" stopIfTrue="1">
      <formula>MOD(ROW(#REF!),2)=0</formula>
    </cfRule>
  </conditionalFormatting>
  <conditionalFormatting sqref="N16:N17">
    <cfRule type="expression" dxfId="106" priority="30" stopIfTrue="1">
      <formula>MOD(ROW(#REF!),2)=0</formula>
    </cfRule>
  </conditionalFormatting>
  <conditionalFormatting sqref="P11:P12">
    <cfRule type="expression" dxfId="105" priority="29" stopIfTrue="1">
      <formula>MOD(ROW(#REF!),2)=0</formula>
    </cfRule>
  </conditionalFormatting>
  <conditionalFormatting sqref="P25:R25 P27:R28">
    <cfRule type="expression" dxfId="104" priority="28" stopIfTrue="1">
      <formula>MOD(ROW(#REF!),2)=0</formula>
    </cfRule>
  </conditionalFormatting>
  <conditionalFormatting sqref="Q24:R24">
    <cfRule type="expression" dxfId="103" priority="27" stopIfTrue="1">
      <formula>MOD(ROW(#REF!),2)=0</formula>
    </cfRule>
  </conditionalFormatting>
  <conditionalFormatting sqref="R19 R21:R23">
    <cfRule type="expression" dxfId="102" priority="26" stopIfTrue="1">
      <formula>MOD(ROW(#REF!),2)=0</formula>
    </cfRule>
  </conditionalFormatting>
  <conditionalFormatting sqref="Q22">
    <cfRule type="expression" dxfId="101" priority="25" stopIfTrue="1">
      <formula>MOD(ROW(#REF!),2)=0</formula>
    </cfRule>
  </conditionalFormatting>
  <conditionalFormatting sqref="Q15:Q18">
    <cfRule type="expression" dxfId="100" priority="24" stopIfTrue="1">
      <formula>MOD(ROW(#REF!),2)=0</formula>
    </cfRule>
  </conditionalFormatting>
  <conditionalFormatting sqref="S16:S18">
    <cfRule type="expression" dxfId="99" priority="23" stopIfTrue="1">
      <formula>MOD(ROW(#REF!),2)=0</formula>
    </cfRule>
  </conditionalFormatting>
  <conditionalFormatting sqref="R17">
    <cfRule type="expression" dxfId="98" priority="22" stopIfTrue="1">
      <formula>MOD(ROW(#REF!),2)=0</formula>
    </cfRule>
  </conditionalFormatting>
  <conditionalFormatting sqref="Q10:S13">
    <cfRule type="expression" dxfId="97" priority="21" stopIfTrue="1">
      <formula>MOD(ROW(#REF!),2)=0</formula>
    </cfRule>
  </conditionalFormatting>
  <conditionalFormatting sqref="R14:S14">
    <cfRule type="expression" dxfId="96" priority="20" stopIfTrue="1">
      <formula>MOD(ROW(#REF!),2)=0</formula>
    </cfRule>
  </conditionalFormatting>
  <conditionalFormatting sqref="R15">
    <cfRule type="expression" dxfId="95" priority="19" stopIfTrue="1">
      <formula>MOD(ROW(#REF!),2)=0</formula>
    </cfRule>
  </conditionalFormatting>
  <conditionalFormatting sqref="R3:R9">
    <cfRule type="expression" dxfId="94" priority="18" stopIfTrue="1">
      <formula>MOD(ROW(#REF!),2)=0</formula>
    </cfRule>
  </conditionalFormatting>
  <conditionalFormatting sqref="S8:S9">
    <cfRule type="expression" dxfId="93" priority="17" stopIfTrue="1">
      <formula>MOD(ROW(#REF!),2)=0</formula>
    </cfRule>
  </conditionalFormatting>
  <conditionalFormatting sqref="S6">
    <cfRule type="expression" dxfId="92" priority="16" stopIfTrue="1">
      <formula>MOD(ROW(#REF!),2)=0</formula>
    </cfRule>
  </conditionalFormatting>
  <conditionalFormatting sqref="S4">
    <cfRule type="expression" dxfId="91" priority="15" stopIfTrue="1">
      <formula>MOD(ROW(#REF!),2)=0</formula>
    </cfRule>
  </conditionalFormatting>
  <conditionalFormatting sqref="S25">
    <cfRule type="expression" dxfId="90" priority="14" stopIfTrue="1">
      <formula>MOD(ROW(#REF!),2)=0</formula>
    </cfRule>
  </conditionalFormatting>
  <conditionalFormatting sqref="Y3:Y19 Y21:Y25 Y27:Y28">
    <cfRule type="expression" dxfId="89" priority="13" stopIfTrue="1">
      <formula>MOD(ROW(#REF!),2)=0</formula>
    </cfRule>
  </conditionalFormatting>
  <conditionalFormatting sqref="T3:T18">
    <cfRule type="expression" dxfId="88" priority="12" stopIfTrue="1">
      <formula>MOD(ROW(#REF!),2)=0</formula>
    </cfRule>
  </conditionalFormatting>
  <conditionalFormatting sqref="T25 T27:T28">
    <cfRule type="expression" dxfId="87" priority="11" stopIfTrue="1">
      <formula>MOD(ROW(#REF!),2)=0</formula>
    </cfRule>
  </conditionalFormatting>
  <conditionalFormatting sqref="L2">
    <cfRule type="expression" dxfId="86" priority="10" stopIfTrue="1">
      <formula>MOD(ROW(#REF!),2)=0</formula>
    </cfRule>
  </conditionalFormatting>
  <conditionalFormatting sqref="D20:K20 P20:Q20 Z20 S20:X20">
    <cfRule type="expression" dxfId="85" priority="9" stopIfTrue="1">
      <formula>MOD(ROW(#REF!),2)=0</formula>
    </cfRule>
  </conditionalFormatting>
  <conditionalFormatting sqref="L20:O20">
    <cfRule type="expression" dxfId="84" priority="8" stopIfTrue="1">
      <formula>MOD(ROW(#REF!),2)=0</formula>
    </cfRule>
  </conditionalFormatting>
  <conditionalFormatting sqref="R20">
    <cfRule type="expression" dxfId="83" priority="7" stopIfTrue="1">
      <formula>MOD(ROW(#REF!),2)=0</formula>
    </cfRule>
  </conditionalFormatting>
  <conditionalFormatting sqref="Y20">
    <cfRule type="expression" dxfId="82" priority="6" stopIfTrue="1">
      <formula>MOD(ROW(#REF!),2)=0</formula>
    </cfRule>
  </conditionalFormatting>
  <conditionalFormatting sqref="D26:K26 V26:X26 Z26">
    <cfRule type="expression" dxfId="81" priority="5" stopIfTrue="1">
      <formula>MOD(ROW(#REF!),2)=0</formula>
    </cfRule>
  </conditionalFormatting>
  <conditionalFormatting sqref="U26">
    <cfRule type="expression" dxfId="80" priority="4" stopIfTrue="1">
      <formula>MOD(ROW(#REF!),2)=0</formula>
    </cfRule>
  </conditionalFormatting>
  <conditionalFormatting sqref="T26">
    <cfRule type="expression" dxfId="79" priority="3" stopIfTrue="1">
      <formula>MOD(ROW(#REF!),2)=0</formula>
    </cfRule>
  </conditionalFormatting>
  <conditionalFormatting sqref="L26:S26">
    <cfRule type="expression" dxfId="78" priority="2" stopIfTrue="1">
      <formula>MOD(ROW(#REF!),2)=0</formula>
    </cfRule>
  </conditionalFormatting>
  <conditionalFormatting sqref="Y26">
    <cfRule type="expression" dxfId="77" priority="1" stopIfTrue="1">
      <formula>MOD(ROW(#REF!),2)=0</formula>
    </cfRule>
  </conditionalFormatting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Z32"/>
  <sheetViews>
    <sheetView topLeftCell="J10" workbookViewId="0">
      <selection activeCell="A26" sqref="A26:Z26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14.5703125" customWidth="1"/>
    <col min="4" max="4" width="10" customWidth="1"/>
    <col min="6" max="6" width="12.7109375" customWidth="1"/>
    <col min="7" max="7" width="13.85546875" customWidth="1"/>
    <col min="8" max="8" width="17" customWidth="1"/>
    <col min="9" max="9" width="13.7109375" customWidth="1"/>
    <col min="10" max="10" width="12.85546875" customWidth="1"/>
    <col min="12" max="12" width="17.28515625" customWidth="1"/>
    <col min="13" max="13" width="14.7109375" customWidth="1"/>
    <col min="14" max="15" width="13.28515625" customWidth="1"/>
    <col min="16" max="16" width="24.85546875" bestFit="1" customWidth="1"/>
    <col min="21" max="21" width="16.140625" customWidth="1"/>
    <col min="22" max="22" width="15.85546875" customWidth="1"/>
    <col min="24" max="24" width="18.5703125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176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40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" thickTop="1" x14ac:dyDescent="0.2">
      <c r="A3" s="168" t="s">
        <v>1</v>
      </c>
      <c r="B3" s="169" t="s">
        <v>180</v>
      </c>
      <c r="C3" s="170" t="s">
        <v>94</v>
      </c>
      <c r="D3" s="172">
        <v>5</v>
      </c>
      <c r="E3" s="172">
        <v>30</v>
      </c>
      <c r="F3" s="172">
        <v>250</v>
      </c>
      <c r="G3" s="172">
        <v>160</v>
      </c>
      <c r="H3" s="172">
        <v>5</v>
      </c>
      <c r="I3" s="172">
        <v>0</v>
      </c>
      <c r="J3" s="172">
        <v>1439</v>
      </c>
      <c r="K3" s="172">
        <v>0</v>
      </c>
      <c r="L3" s="172" t="s">
        <v>2</v>
      </c>
      <c r="M3" s="170" t="s">
        <v>2</v>
      </c>
      <c r="N3" s="172" t="s">
        <v>2</v>
      </c>
      <c r="O3" s="172" t="s">
        <v>3</v>
      </c>
      <c r="P3" s="170" t="s">
        <v>2</v>
      </c>
      <c r="Q3" s="170" t="s">
        <v>2</v>
      </c>
      <c r="R3" s="179" t="s">
        <v>3</v>
      </c>
      <c r="S3" s="179" t="s">
        <v>3</v>
      </c>
      <c r="T3" s="178">
        <v>0</v>
      </c>
      <c r="U3" s="172"/>
      <c r="V3" s="172"/>
      <c r="W3" s="172" t="s">
        <v>45</v>
      </c>
      <c r="X3" s="172"/>
      <c r="Y3" s="176" t="s">
        <v>2</v>
      </c>
      <c r="Z3" s="173"/>
    </row>
    <row r="4" spans="1:26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250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9" t="s">
        <v>3</v>
      </c>
      <c r="N4" s="179" t="s">
        <v>3</v>
      </c>
      <c r="O4" s="179" t="s">
        <v>3</v>
      </c>
      <c r="P4" s="176" t="s">
        <v>2</v>
      </c>
      <c r="Q4" s="176" t="s">
        <v>2</v>
      </c>
      <c r="R4" s="179" t="s">
        <v>3</v>
      </c>
      <c r="S4" s="179" t="s">
        <v>3</v>
      </c>
      <c r="T4" s="178">
        <v>0</v>
      </c>
      <c r="U4" s="178"/>
      <c r="V4" s="178"/>
      <c r="W4" s="178" t="s">
        <v>45</v>
      </c>
      <c r="X4" s="178"/>
      <c r="Y4" s="176" t="s">
        <v>2</v>
      </c>
      <c r="Z4" s="180"/>
    </row>
    <row r="5" spans="1:26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250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2</v>
      </c>
      <c r="O5" s="179" t="s">
        <v>3</v>
      </c>
      <c r="P5" s="176" t="s">
        <v>2</v>
      </c>
      <c r="Q5" s="176" t="s">
        <v>2</v>
      </c>
      <c r="R5" s="179" t="s">
        <v>3</v>
      </c>
      <c r="S5" s="179" t="s">
        <v>3</v>
      </c>
      <c r="T5" s="178">
        <v>0</v>
      </c>
      <c r="U5" s="178"/>
      <c r="V5" s="178"/>
      <c r="W5" s="178" t="s">
        <v>45</v>
      </c>
      <c r="X5" s="178"/>
      <c r="Y5" s="176" t="s">
        <v>2</v>
      </c>
      <c r="Z5" s="180"/>
    </row>
    <row r="6" spans="1:26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250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9" t="s">
        <v>3</v>
      </c>
      <c r="N6" s="179" t="s">
        <v>3</v>
      </c>
      <c r="O6" s="179" t="s">
        <v>3</v>
      </c>
      <c r="P6" s="176" t="s">
        <v>2</v>
      </c>
      <c r="Q6" s="176" t="s">
        <v>2</v>
      </c>
      <c r="R6" s="179" t="s">
        <v>3</v>
      </c>
      <c r="S6" s="179" t="s">
        <v>3</v>
      </c>
      <c r="T6" s="178">
        <v>0</v>
      </c>
      <c r="U6" s="178"/>
      <c r="V6" s="178"/>
      <c r="W6" s="178" t="s">
        <v>45</v>
      </c>
      <c r="X6" s="178"/>
      <c r="Y6" s="176" t="s">
        <v>2</v>
      </c>
      <c r="Z6" s="180"/>
    </row>
    <row r="7" spans="1:26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250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9" t="s">
        <v>3</v>
      </c>
      <c r="N7" s="178" t="s">
        <v>2</v>
      </c>
      <c r="O7" s="179" t="s">
        <v>3</v>
      </c>
      <c r="P7" s="176" t="s">
        <v>2</v>
      </c>
      <c r="Q7" s="176" t="s">
        <v>2</v>
      </c>
      <c r="R7" s="179" t="s">
        <v>3</v>
      </c>
      <c r="S7" s="179" t="s">
        <v>3</v>
      </c>
      <c r="T7" s="178">
        <v>0</v>
      </c>
      <c r="U7" s="178"/>
      <c r="V7" s="178"/>
      <c r="W7" s="178" t="s">
        <v>45</v>
      </c>
      <c r="X7" s="178"/>
      <c r="Y7" s="176" t="s">
        <v>2</v>
      </c>
      <c r="Z7" s="180"/>
    </row>
    <row r="8" spans="1:26" ht="14.25" x14ac:dyDescent="0.2">
      <c r="A8" s="174" t="s">
        <v>163</v>
      </c>
      <c r="B8" s="177" t="s">
        <v>180</v>
      </c>
      <c r="C8" s="176" t="s">
        <v>94</v>
      </c>
      <c r="D8" s="178">
        <v>12</v>
      </c>
      <c r="E8" s="178">
        <v>30</v>
      </c>
      <c r="F8" s="178">
        <v>250</v>
      </c>
      <c r="G8" s="178">
        <v>200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9" t="s">
        <v>3</v>
      </c>
      <c r="N8" s="179" t="s">
        <v>3</v>
      </c>
      <c r="O8" s="179" t="s">
        <v>3</v>
      </c>
      <c r="P8" s="176" t="s">
        <v>2</v>
      </c>
      <c r="Q8" s="176" t="s">
        <v>2</v>
      </c>
      <c r="R8" s="179" t="s">
        <v>3</v>
      </c>
      <c r="S8" s="179" t="s">
        <v>3</v>
      </c>
      <c r="T8" s="178">
        <v>0</v>
      </c>
      <c r="U8" s="178"/>
      <c r="V8" s="178"/>
      <c r="W8" s="178" t="s">
        <v>45</v>
      </c>
      <c r="X8" s="178"/>
      <c r="Y8" s="176" t="s">
        <v>2</v>
      </c>
      <c r="Z8" s="180"/>
    </row>
    <row r="9" spans="1:26" ht="14.25" x14ac:dyDescent="0.2">
      <c r="A9" s="174" t="s">
        <v>164</v>
      </c>
      <c r="B9" s="177" t="s">
        <v>181</v>
      </c>
      <c r="C9" s="176" t="s">
        <v>94</v>
      </c>
      <c r="D9" s="178">
        <v>4</v>
      </c>
      <c r="E9" s="178">
        <v>30</v>
      </c>
      <c r="F9" s="178">
        <v>250</v>
      </c>
      <c r="G9" s="178">
        <v>190</v>
      </c>
      <c r="H9" s="178">
        <v>5</v>
      </c>
      <c r="I9" s="178">
        <v>0</v>
      </c>
      <c r="J9" s="178">
        <v>1439</v>
      </c>
      <c r="K9" s="178">
        <v>0</v>
      </c>
      <c r="L9" s="178" t="s">
        <v>2</v>
      </c>
      <c r="M9" s="176" t="s">
        <v>2</v>
      </c>
      <c r="N9" s="179" t="s">
        <v>3</v>
      </c>
      <c r="O9" s="179" t="s">
        <v>3</v>
      </c>
      <c r="P9" s="176" t="s">
        <v>2</v>
      </c>
      <c r="Q9" s="176" t="s">
        <v>2</v>
      </c>
      <c r="R9" s="179" t="s">
        <v>3</v>
      </c>
      <c r="S9" s="179" t="s">
        <v>3</v>
      </c>
      <c r="T9" s="178">
        <v>0</v>
      </c>
      <c r="U9" s="178"/>
      <c r="V9" s="178"/>
      <c r="W9" s="178" t="s">
        <v>45</v>
      </c>
      <c r="X9" s="178"/>
      <c r="Y9" s="176" t="s">
        <v>2</v>
      </c>
      <c r="Z9" s="180"/>
    </row>
    <row r="10" spans="1:26" ht="14.25" x14ac:dyDescent="0.2">
      <c r="A10" s="174" t="s">
        <v>165</v>
      </c>
      <c r="B10" s="177" t="s">
        <v>180</v>
      </c>
      <c r="C10" s="176" t="s">
        <v>94</v>
      </c>
      <c r="D10" s="178">
        <v>24</v>
      </c>
      <c r="E10" s="178">
        <v>70</v>
      </c>
      <c r="F10" s="178">
        <v>120</v>
      </c>
      <c r="G10" s="178">
        <v>80</v>
      </c>
      <c r="H10" s="178">
        <v>5</v>
      </c>
      <c r="I10" s="178">
        <v>0</v>
      </c>
      <c r="J10" s="178">
        <v>1439</v>
      </c>
      <c r="K10" s="178">
        <v>0</v>
      </c>
      <c r="L10" s="178" t="s">
        <v>2</v>
      </c>
      <c r="M10" s="179" t="s">
        <v>3</v>
      </c>
      <c r="N10" s="179" t="s">
        <v>3</v>
      </c>
      <c r="O10" s="179" t="s">
        <v>3</v>
      </c>
      <c r="P10" s="176" t="s">
        <v>2</v>
      </c>
      <c r="Q10" s="179" t="s">
        <v>3</v>
      </c>
      <c r="R10" s="179" t="s">
        <v>3</v>
      </c>
      <c r="S10" s="179" t="s">
        <v>3</v>
      </c>
      <c r="T10" s="178">
        <v>0</v>
      </c>
      <c r="U10" s="178"/>
      <c r="V10" s="178"/>
      <c r="W10" s="178" t="s">
        <v>45</v>
      </c>
      <c r="X10" s="178"/>
      <c r="Y10" s="176" t="s">
        <v>2</v>
      </c>
      <c r="Z10" s="180"/>
    </row>
    <row r="11" spans="1:26" ht="14.25" x14ac:dyDescent="0.2">
      <c r="A11" s="174" t="s">
        <v>5</v>
      </c>
      <c r="B11" s="177" t="s">
        <v>180</v>
      </c>
      <c r="C11" s="176" t="s">
        <v>94</v>
      </c>
      <c r="D11" s="178">
        <v>8</v>
      </c>
      <c r="E11" s="179">
        <v>1</v>
      </c>
      <c r="F11" s="179">
        <v>3</v>
      </c>
      <c r="G11" s="179">
        <v>3</v>
      </c>
      <c r="H11" s="179">
        <v>1</v>
      </c>
      <c r="I11" s="178">
        <v>0</v>
      </c>
      <c r="J11" s="178">
        <v>1439</v>
      </c>
      <c r="K11" s="178">
        <v>0</v>
      </c>
      <c r="L11" s="178" t="s">
        <v>2</v>
      </c>
      <c r="M11" s="179" t="s">
        <v>3</v>
      </c>
      <c r="N11" s="179" t="s">
        <v>3</v>
      </c>
      <c r="O11" s="179" t="s">
        <v>3</v>
      </c>
      <c r="P11" s="179" t="s">
        <v>3</v>
      </c>
      <c r="Q11" s="179" t="s">
        <v>3</v>
      </c>
      <c r="R11" s="179" t="s">
        <v>3</v>
      </c>
      <c r="S11" s="179" t="s">
        <v>3</v>
      </c>
      <c r="T11" s="178">
        <v>0</v>
      </c>
      <c r="U11" s="178"/>
      <c r="V11" s="178"/>
      <c r="W11" s="178" t="s">
        <v>45</v>
      </c>
      <c r="X11" s="178"/>
      <c r="Y11" s="176" t="s">
        <v>2</v>
      </c>
      <c r="Z11" s="180"/>
    </row>
    <row r="12" spans="1:26" ht="14.25" x14ac:dyDescent="0.2">
      <c r="A12" s="174" t="s">
        <v>6</v>
      </c>
      <c r="B12" s="177" t="s">
        <v>180</v>
      </c>
      <c r="C12" s="176" t="s">
        <v>94</v>
      </c>
      <c r="D12" s="178">
        <v>7</v>
      </c>
      <c r="E12" s="179">
        <v>1</v>
      </c>
      <c r="F12" s="179">
        <v>3</v>
      </c>
      <c r="G12" s="179">
        <v>3</v>
      </c>
      <c r="H12" s="179">
        <v>1</v>
      </c>
      <c r="I12" s="178">
        <v>0</v>
      </c>
      <c r="J12" s="178">
        <v>1439</v>
      </c>
      <c r="K12" s="178">
        <v>0</v>
      </c>
      <c r="L12" s="178" t="s">
        <v>2</v>
      </c>
      <c r="M12" s="179" t="s">
        <v>3</v>
      </c>
      <c r="N12" s="179" t="s">
        <v>3</v>
      </c>
      <c r="O12" s="179" t="s">
        <v>3</v>
      </c>
      <c r="P12" s="179" t="s">
        <v>3</v>
      </c>
      <c r="Q12" s="179" t="s">
        <v>3</v>
      </c>
      <c r="R12" s="179" t="s">
        <v>3</v>
      </c>
      <c r="S12" s="179" t="s">
        <v>3</v>
      </c>
      <c r="T12" s="178">
        <v>0</v>
      </c>
      <c r="U12" s="178"/>
      <c r="V12" s="178"/>
      <c r="W12" s="178" t="s">
        <v>45</v>
      </c>
      <c r="X12" s="178"/>
      <c r="Y12" s="176" t="s">
        <v>2</v>
      </c>
      <c r="Z12" s="180"/>
    </row>
    <row r="13" spans="1:26" ht="14.25" x14ac:dyDescent="0.2">
      <c r="A13" s="174" t="s">
        <v>10</v>
      </c>
      <c r="B13" s="177" t="s">
        <v>182</v>
      </c>
      <c r="C13" s="176" t="s">
        <v>94</v>
      </c>
      <c r="D13" s="178">
        <v>48</v>
      </c>
      <c r="E13" s="178">
        <v>30</v>
      </c>
      <c r="F13" s="178">
        <v>250</v>
      </c>
      <c r="G13" s="178">
        <v>200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9" t="s">
        <v>3</v>
      </c>
      <c r="N13" s="179" t="s">
        <v>3</v>
      </c>
      <c r="O13" s="179" t="s">
        <v>3</v>
      </c>
      <c r="P13" s="176" t="s">
        <v>2</v>
      </c>
      <c r="Q13" s="179" t="s">
        <v>3</v>
      </c>
      <c r="R13" s="179" t="s">
        <v>3</v>
      </c>
      <c r="S13" s="179" t="s">
        <v>3</v>
      </c>
      <c r="T13" s="178">
        <v>0</v>
      </c>
      <c r="U13" s="178"/>
      <c r="V13" s="178"/>
      <c r="W13" s="178" t="s">
        <v>45</v>
      </c>
      <c r="X13" s="178"/>
      <c r="Y13" s="176" t="s">
        <v>2</v>
      </c>
      <c r="Z13" s="180"/>
    </row>
    <row r="14" spans="1:26" ht="14.25" x14ac:dyDescent="0.2">
      <c r="A14" s="174" t="s">
        <v>7</v>
      </c>
      <c r="B14" s="177" t="s">
        <v>180</v>
      </c>
      <c r="C14" s="176" t="s">
        <v>94</v>
      </c>
      <c r="D14" s="178">
        <v>11</v>
      </c>
      <c r="E14" s="178">
        <v>30</v>
      </c>
      <c r="F14" s="178">
        <v>250</v>
      </c>
      <c r="G14" s="178">
        <v>150</v>
      </c>
      <c r="H14" s="178">
        <v>5</v>
      </c>
      <c r="I14" s="178">
        <v>0</v>
      </c>
      <c r="J14" s="178">
        <v>1439</v>
      </c>
      <c r="K14" s="178">
        <v>0</v>
      </c>
      <c r="L14" s="178" t="s">
        <v>2</v>
      </c>
      <c r="M14" s="179" t="s">
        <v>3</v>
      </c>
      <c r="N14" s="179" t="s">
        <v>3</v>
      </c>
      <c r="O14" s="179" t="s">
        <v>3</v>
      </c>
      <c r="P14" s="176" t="s">
        <v>2</v>
      </c>
      <c r="Q14" s="176" t="s">
        <v>2</v>
      </c>
      <c r="R14" s="179" t="s">
        <v>3</v>
      </c>
      <c r="S14" s="179" t="s">
        <v>3</v>
      </c>
      <c r="T14" s="178">
        <v>0</v>
      </c>
      <c r="U14" s="178"/>
      <c r="V14" s="178"/>
      <c r="W14" s="178" t="s">
        <v>45</v>
      </c>
      <c r="X14" s="178"/>
      <c r="Y14" s="176" t="s">
        <v>2</v>
      </c>
      <c r="Z14" s="180"/>
    </row>
    <row r="15" spans="1:26" ht="14.25" x14ac:dyDescent="0.2">
      <c r="A15" s="174" t="s">
        <v>8</v>
      </c>
      <c r="B15" s="177" t="s">
        <v>180</v>
      </c>
      <c r="C15" s="176" t="s">
        <v>94</v>
      </c>
      <c r="D15" s="178">
        <v>14</v>
      </c>
      <c r="E15" s="178">
        <v>50</v>
      </c>
      <c r="F15" s="178">
        <v>100</v>
      </c>
      <c r="G15" s="178">
        <v>65</v>
      </c>
      <c r="H15" s="178">
        <v>5</v>
      </c>
      <c r="I15" s="178">
        <v>0</v>
      </c>
      <c r="J15" s="178">
        <v>1439</v>
      </c>
      <c r="K15" s="178">
        <v>0</v>
      </c>
      <c r="L15" s="178" t="s">
        <v>2</v>
      </c>
      <c r="M15" s="179" t="s">
        <v>3</v>
      </c>
      <c r="N15" s="178" t="s">
        <v>2</v>
      </c>
      <c r="O15" s="179" t="s">
        <v>3</v>
      </c>
      <c r="P15" s="176" t="s">
        <v>2</v>
      </c>
      <c r="Q15" s="179" t="s">
        <v>3</v>
      </c>
      <c r="R15" s="179" t="s">
        <v>3</v>
      </c>
      <c r="S15" s="179" t="s">
        <v>3</v>
      </c>
      <c r="T15" s="178">
        <v>0</v>
      </c>
      <c r="U15" s="178"/>
      <c r="V15" s="178"/>
      <c r="W15" s="178" t="s">
        <v>45</v>
      </c>
      <c r="X15" s="178"/>
      <c r="Y15" s="176" t="s">
        <v>2</v>
      </c>
      <c r="Z15" s="180"/>
    </row>
    <row r="16" spans="1:26" ht="14.25" x14ac:dyDescent="0.2">
      <c r="A16" s="174" t="s">
        <v>157</v>
      </c>
      <c r="B16" s="177" t="s">
        <v>181</v>
      </c>
      <c r="C16" s="176" t="s">
        <v>94</v>
      </c>
      <c r="D16" s="178">
        <v>47</v>
      </c>
      <c r="E16" s="178">
        <v>30</v>
      </c>
      <c r="F16" s="178">
        <v>130</v>
      </c>
      <c r="G16" s="178">
        <v>80</v>
      </c>
      <c r="H16" s="178">
        <v>5</v>
      </c>
      <c r="I16" s="178">
        <v>0</v>
      </c>
      <c r="J16" s="178">
        <v>1439</v>
      </c>
      <c r="K16" s="178">
        <v>0</v>
      </c>
      <c r="L16" s="178" t="s">
        <v>2</v>
      </c>
      <c r="M16" s="179" t="s">
        <v>3</v>
      </c>
      <c r="N16" s="179" t="s">
        <v>3</v>
      </c>
      <c r="O16" s="179" t="s">
        <v>3</v>
      </c>
      <c r="P16" s="176" t="s">
        <v>2</v>
      </c>
      <c r="Q16" s="179" t="s">
        <v>3</v>
      </c>
      <c r="R16" s="178" t="s">
        <v>2</v>
      </c>
      <c r="S16" s="179" t="s">
        <v>3</v>
      </c>
      <c r="T16" s="178">
        <v>0</v>
      </c>
      <c r="U16" s="178"/>
      <c r="V16" s="178"/>
      <c r="W16" s="178" t="s">
        <v>45</v>
      </c>
      <c r="X16" s="178"/>
      <c r="Y16" s="176" t="s">
        <v>2</v>
      </c>
      <c r="Z16" s="180"/>
    </row>
    <row r="17" spans="1:26" ht="14.25" x14ac:dyDescent="0.2">
      <c r="A17" s="174" t="s">
        <v>9</v>
      </c>
      <c r="B17" s="177" t="s">
        <v>180</v>
      </c>
      <c r="C17" s="176" t="s">
        <v>94</v>
      </c>
      <c r="D17" s="178">
        <v>15</v>
      </c>
      <c r="E17" s="178">
        <v>30</v>
      </c>
      <c r="F17" s="178">
        <v>70</v>
      </c>
      <c r="G17" s="178">
        <v>50</v>
      </c>
      <c r="H17" s="178">
        <v>5</v>
      </c>
      <c r="I17" s="178">
        <v>0</v>
      </c>
      <c r="J17" s="178">
        <v>1439</v>
      </c>
      <c r="K17" s="178">
        <v>0</v>
      </c>
      <c r="L17" s="178" t="s">
        <v>2</v>
      </c>
      <c r="M17" s="179" t="s">
        <v>3</v>
      </c>
      <c r="N17" s="179" t="s">
        <v>3</v>
      </c>
      <c r="O17" s="179" t="s">
        <v>3</v>
      </c>
      <c r="P17" s="176" t="s">
        <v>2</v>
      </c>
      <c r="Q17" s="179" t="s">
        <v>3</v>
      </c>
      <c r="R17" s="179" t="s">
        <v>3</v>
      </c>
      <c r="S17" s="179" t="s">
        <v>3</v>
      </c>
      <c r="T17" s="178">
        <v>0</v>
      </c>
      <c r="U17" s="178"/>
      <c r="V17" s="178"/>
      <c r="W17" s="178" t="s">
        <v>45</v>
      </c>
      <c r="X17" s="178"/>
      <c r="Y17" s="176" t="s">
        <v>2</v>
      </c>
      <c r="Z17" s="180"/>
    </row>
    <row r="18" spans="1:26" ht="14.25" x14ac:dyDescent="0.2">
      <c r="A18" s="174" t="s">
        <v>166</v>
      </c>
      <c r="B18" s="177" t="s">
        <v>180</v>
      </c>
      <c r="C18" s="176" t="s">
        <v>94</v>
      </c>
      <c r="D18" s="178">
        <v>21</v>
      </c>
      <c r="E18" s="178">
        <v>85</v>
      </c>
      <c r="F18" s="178">
        <v>140</v>
      </c>
      <c r="G18" s="178">
        <v>85</v>
      </c>
      <c r="H18" s="178">
        <v>5</v>
      </c>
      <c r="I18" s="178">
        <v>30</v>
      </c>
      <c r="J18" s="178">
        <v>1439</v>
      </c>
      <c r="K18" s="178">
        <v>1439</v>
      </c>
      <c r="L18" s="179" t="s">
        <v>3</v>
      </c>
      <c r="M18" s="179" t="s">
        <v>3</v>
      </c>
      <c r="N18" s="179" t="s">
        <v>3</v>
      </c>
      <c r="O18" s="179" t="s">
        <v>3</v>
      </c>
      <c r="P18" s="176" t="s">
        <v>2</v>
      </c>
      <c r="Q18" s="179" t="s">
        <v>3</v>
      </c>
      <c r="R18" s="178" t="s">
        <v>2</v>
      </c>
      <c r="S18" s="179" t="s">
        <v>3</v>
      </c>
      <c r="T18" s="178">
        <v>0</v>
      </c>
      <c r="U18" s="178"/>
      <c r="V18" s="178"/>
      <c r="W18" s="178" t="s">
        <v>45</v>
      </c>
      <c r="X18" s="178"/>
      <c r="Y18" s="176" t="s">
        <v>2</v>
      </c>
      <c r="Z18" s="180"/>
    </row>
    <row r="19" spans="1:26" ht="14.25" x14ac:dyDescent="0.2">
      <c r="A19" s="174" t="s">
        <v>167</v>
      </c>
      <c r="B19" s="182" t="s">
        <v>180</v>
      </c>
      <c r="C19" s="176" t="s">
        <v>94</v>
      </c>
      <c r="D19" s="178">
        <v>32</v>
      </c>
      <c r="E19" s="178">
        <v>30</v>
      </c>
      <c r="F19" s="178">
        <v>100</v>
      </c>
      <c r="G19" s="178">
        <v>100</v>
      </c>
      <c r="H19" s="178">
        <v>5</v>
      </c>
      <c r="I19" s="178">
        <v>1</v>
      </c>
      <c r="J19" s="178">
        <v>240</v>
      </c>
      <c r="K19" s="178">
        <v>20</v>
      </c>
      <c r="L19" s="179" t="s">
        <v>3</v>
      </c>
      <c r="M19" s="179" t="s">
        <v>3</v>
      </c>
      <c r="N19" s="179" t="s">
        <v>3</v>
      </c>
      <c r="O19" s="179" t="s">
        <v>3</v>
      </c>
      <c r="P19" s="176" t="s">
        <v>2</v>
      </c>
      <c r="Q19" s="176" t="s">
        <v>2</v>
      </c>
      <c r="R19" s="179" t="s">
        <v>3</v>
      </c>
      <c r="S19" s="179" t="s">
        <v>3</v>
      </c>
      <c r="T19" s="178">
        <v>1</v>
      </c>
      <c r="U19" s="178"/>
      <c r="V19" s="178"/>
      <c r="W19" s="178" t="s">
        <v>190</v>
      </c>
      <c r="X19" s="178"/>
      <c r="Y19" s="176" t="s">
        <v>2</v>
      </c>
      <c r="Z19" s="180"/>
    </row>
    <row r="20" spans="1:26" ht="14.25" x14ac:dyDescent="0.2">
      <c r="A20" s="174" t="s">
        <v>663</v>
      </c>
      <c r="B20" s="182" t="s">
        <v>180</v>
      </c>
      <c r="C20" s="176" t="s">
        <v>94</v>
      </c>
      <c r="D20" s="178">
        <v>65</v>
      </c>
      <c r="E20" s="178">
        <v>105</v>
      </c>
      <c r="F20" s="178">
        <v>120</v>
      </c>
      <c r="G20" s="178">
        <v>120</v>
      </c>
      <c r="H20" s="178">
        <v>5</v>
      </c>
      <c r="I20" s="178">
        <v>1</v>
      </c>
      <c r="J20" s="178">
        <v>240</v>
      </c>
      <c r="K20" s="178">
        <v>20</v>
      </c>
      <c r="L20" s="179" t="s">
        <v>3</v>
      </c>
      <c r="M20" s="179" t="s">
        <v>3</v>
      </c>
      <c r="N20" s="179" t="s">
        <v>3</v>
      </c>
      <c r="O20" s="179" t="s">
        <v>3</v>
      </c>
      <c r="P20" s="176" t="s">
        <v>2</v>
      </c>
      <c r="Q20" s="176" t="s">
        <v>2</v>
      </c>
      <c r="R20" s="179" t="s">
        <v>3</v>
      </c>
      <c r="S20" s="179" t="s">
        <v>3</v>
      </c>
      <c r="T20" s="178">
        <v>1</v>
      </c>
      <c r="U20" s="178"/>
      <c r="V20" s="178"/>
      <c r="W20" s="178" t="s">
        <v>190</v>
      </c>
      <c r="X20" s="178"/>
      <c r="Y20" s="176" t="s">
        <v>2</v>
      </c>
      <c r="Z20" s="180"/>
    </row>
    <row r="21" spans="1:26" ht="14.25" x14ac:dyDescent="0.2">
      <c r="A21" s="174" t="s">
        <v>168</v>
      </c>
      <c r="B21" s="177" t="s">
        <v>180</v>
      </c>
      <c r="C21" s="176" t="s">
        <v>94</v>
      </c>
      <c r="D21" s="178">
        <v>37</v>
      </c>
      <c r="E21" s="178">
        <v>80</v>
      </c>
      <c r="F21" s="178">
        <v>180</v>
      </c>
      <c r="G21" s="178">
        <v>120</v>
      </c>
      <c r="H21" s="178">
        <v>5</v>
      </c>
      <c r="I21" s="178">
        <v>1</v>
      </c>
      <c r="J21" s="178">
        <v>240</v>
      </c>
      <c r="K21" s="178">
        <v>10</v>
      </c>
      <c r="L21" s="179" t="s">
        <v>3</v>
      </c>
      <c r="M21" s="179" t="s">
        <v>3</v>
      </c>
      <c r="N21" s="179" t="s">
        <v>3</v>
      </c>
      <c r="O21" s="179" t="s">
        <v>3</v>
      </c>
      <c r="P21" s="176" t="s">
        <v>2</v>
      </c>
      <c r="Q21" s="176" t="s">
        <v>2</v>
      </c>
      <c r="R21" s="179" t="s">
        <v>3</v>
      </c>
      <c r="S21" s="179" t="s">
        <v>3</v>
      </c>
      <c r="T21" s="178">
        <v>1</v>
      </c>
      <c r="U21" s="178"/>
      <c r="V21" s="178"/>
      <c r="W21" s="178" t="s">
        <v>190</v>
      </c>
      <c r="X21" s="178"/>
      <c r="Y21" s="176" t="s">
        <v>2</v>
      </c>
      <c r="Z21" s="180"/>
    </row>
    <row r="22" spans="1:26" ht="14.25" x14ac:dyDescent="0.2">
      <c r="A22" s="174" t="s">
        <v>156</v>
      </c>
      <c r="B22" s="177" t="s">
        <v>180</v>
      </c>
      <c r="C22" s="176" t="s">
        <v>94</v>
      </c>
      <c r="D22" s="178">
        <v>51</v>
      </c>
      <c r="E22" s="178">
        <v>30</v>
      </c>
      <c r="F22" s="178">
        <v>50</v>
      </c>
      <c r="G22" s="178">
        <v>40</v>
      </c>
      <c r="H22" s="178">
        <v>5</v>
      </c>
      <c r="I22" s="178">
        <v>1</v>
      </c>
      <c r="J22" s="178">
        <v>240</v>
      </c>
      <c r="K22" s="178">
        <v>30</v>
      </c>
      <c r="L22" s="179" t="s">
        <v>3</v>
      </c>
      <c r="M22" s="179" t="s">
        <v>3</v>
      </c>
      <c r="N22" s="179" t="s">
        <v>3</v>
      </c>
      <c r="O22" s="179" t="s">
        <v>3</v>
      </c>
      <c r="P22" s="176" t="s">
        <v>2</v>
      </c>
      <c r="Q22" s="179" t="s">
        <v>3</v>
      </c>
      <c r="R22" s="179" t="s">
        <v>3</v>
      </c>
      <c r="S22" s="179" t="s">
        <v>3</v>
      </c>
      <c r="T22" s="178">
        <v>1</v>
      </c>
      <c r="U22" s="178"/>
      <c r="V22" s="178"/>
      <c r="W22" s="178" t="s">
        <v>190</v>
      </c>
      <c r="X22" s="178"/>
      <c r="Y22" s="176" t="s">
        <v>2</v>
      </c>
      <c r="Z22" s="180"/>
    </row>
    <row r="23" spans="1:26" ht="14.25" x14ac:dyDescent="0.2">
      <c r="A23" s="174" t="s">
        <v>169</v>
      </c>
      <c r="B23" s="177" t="s">
        <v>180</v>
      </c>
      <c r="C23" s="176" t="s">
        <v>94</v>
      </c>
      <c r="D23" s="178">
        <v>63</v>
      </c>
      <c r="E23" s="178">
        <v>50</v>
      </c>
      <c r="F23" s="178">
        <v>95</v>
      </c>
      <c r="G23" s="178">
        <v>60</v>
      </c>
      <c r="H23" s="178">
        <v>5</v>
      </c>
      <c r="I23" s="178">
        <v>1</v>
      </c>
      <c r="J23" s="178">
        <v>240</v>
      </c>
      <c r="K23" s="178">
        <v>60</v>
      </c>
      <c r="L23" s="179" t="s">
        <v>3</v>
      </c>
      <c r="M23" s="179" t="s">
        <v>3</v>
      </c>
      <c r="N23" s="179" t="s">
        <v>3</v>
      </c>
      <c r="O23" s="179" t="s">
        <v>3</v>
      </c>
      <c r="P23" s="176" t="s">
        <v>2</v>
      </c>
      <c r="Q23" s="176" t="s">
        <v>2</v>
      </c>
      <c r="R23" s="179" t="s">
        <v>3</v>
      </c>
      <c r="S23" s="179" t="s">
        <v>3</v>
      </c>
      <c r="T23" s="178">
        <v>1</v>
      </c>
      <c r="U23" s="178"/>
      <c r="V23" s="178"/>
      <c r="W23" s="178" t="s">
        <v>190</v>
      </c>
      <c r="X23" s="178"/>
      <c r="Y23" s="176" t="s">
        <v>2</v>
      </c>
      <c r="Z23" s="180"/>
    </row>
    <row r="24" spans="1:26" ht="14.25" x14ac:dyDescent="0.2">
      <c r="A24" s="174" t="s">
        <v>175</v>
      </c>
      <c r="B24" s="177" t="s">
        <v>180</v>
      </c>
      <c r="C24" s="176" t="s">
        <v>94</v>
      </c>
      <c r="D24" s="178">
        <v>53</v>
      </c>
      <c r="E24" s="178">
        <v>30</v>
      </c>
      <c r="F24" s="178">
        <v>60</v>
      </c>
      <c r="G24" s="178">
        <v>30</v>
      </c>
      <c r="H24" s="178">
        <v>5</v>
      </c>
      <c r="I24" s="178">
        <v>1</v>
      </c>
      <c r="J24" s="178">
        <v>240</v>
      </c>
      <c r="K24" s="178">
        <v>30</v>
      </c>
      <c r="L24" s="179" t="s">
        <v>3</v>
      </c>
      <c r="M24" s="179" t="s">
        <v>3</v>
      </c>
      <c r="N24" s="179" t="s">
        <v>3</v>
      </c>
      <c r="O24" s="179" t="s">
        <v>3</v>
      </c>
      <c r="P24" s="176" t="s">
        <v>2</v>
      </c>
      <c r="Q24" s="179" t="s">
        <v>3</v>
      </c>
      <c r="R24" s="179" t="s">
        <v>3</v>
      </c>
      <c r="S24" s="179" t="s">
        <v>3</v>
      </c>
      <c r="T24" s="178">
        <v>1</v>
      </c>
      <c r="U24" s="178"/>
      <c r="V24" s="178"/>
      <c r="W24" s="185" t="s">
        <v>190</v>
      </c>
      <c r="X24" s="178"/>
      <c r="Y24" s="176" t="s">
        <v>2</v>
      </c>
      <c r="Z24" s="180"/>
    </row>
    <row r="25" spans="1:26" ht="14.25" x14ac:dyDescent="0.2">
      <c r="A25" s="174" t="s">
        <v>12</v>
      </c>
      <c r="B25" s="188" t="s">
        <v>180</v>
      </c>
      <c r="C25" s="176" t="s">
        <v>94</v>
      </c>
      <c r="D25" s="178">
        <v>19</v>
      </c>
      <c r="E25" s="178">
        <v>1</v>
      </c>
      <c r="F25" s="178">
        <v>1</v>
      </c>
      <c r="G25" s="178">
        <v>1</v>
      </c>
      <c r="H25" s="178">
        <v>1</v>
      </c>
      <c r="I25" s="178">
        <v>60</v>
      </c>
      <c r="J25" s="178">
        <v>60</v>
      </c>
      <c r="K25" s="178">
        <v>60</v>
      </c>
      <c r="L25" s="179" t="s">
        <v>3</v>
      </c>
      <c r="M25" s="179" t="s">
        <v>3</v>
      </c>
      <c r="N25" s="179" t="s">
        <v>3</v>
      </c>
      <c r="O25" s="179" t="s">
        <v>3</v>
      </c>
      <c r="P25" s="179" t="s">
        <v>3</v>
      </c>
      <c r="Q25" s="179" t="s">
        <v>3</v>
      </c>
      <c r="R25" s="179" t="s">
        <v>3</v>
      </c>
      <c r="S25" s="179" t="s">
        <v>3</v>
      </c>
      <c r="T25" s="178">
        <v>0</v>
      </c>
      <c r="U25" s="178"/>
      <c r="V25" s="178"/>
      <c r="W25" s="178" t="s">
        <v>25</v>
      </c>
      <c r="X25" s="178"/>
      <c r="Y25" s="176" t="s">
        <v>2</v>
      </c>
      <c r="Z25" s="180"/>
    </row>
    <row r="26" spans="1:26" ht="114.75" x14ac:dyDescent="0.2">
      <c r="A26" s="174" t="s">
        <v>655</v>
      </c>
      <c r="B26" s="188" t="s">
        <v>180</v>
      </c>
      <c r="C26" s="176" t="s">
        <v>94</v>
      </c>
      <c r="D26" s="230">
        <v>45</v>
      </c>
      <c r="E26" s="181">
        <v>1</v>
      </c>
      <c r="F26" s="181">
        <v>1</v>
      </c>
      <c r="G26" s="181">
        <v>1</v>
      </c>
      <c r="H26" s="181">
        <v>1</v>
      </c>
      <c r="I26" s="181">
        <v>2</v>
      </c>
      <c r="J26" s="181">
        <v>2</v>
      </c>
      <c r="K26" s="181">
        <v>2</v>
      </c>
      <c r="L26" s="179" t="s">
        <v>3</v>
      </c>
      <c r="M26" s="179" t="s">
        <v>3</v>
      </c>
      <c r="N26" s="179" t="s">
        <v>3</v>
      </c>
      <c r="O26" s="179" t="s">
        <v>3</v>
      </c>
      <c r="P26" s="179" t="s">
        <v>3</v>
      </c>
      <c r="Q26" s="179" t="s">
        <v>3</v>
      </c>
      <c r="R26" s="179" t="s">
        <v>3</v>
      </c>
      <c r="S26" s="179" t="s">
        <v>3</v>
      </c>
      <c r="T26" s="178">
        <v>0</v>
      </c>
      <c r="U26" s="231" t="s">
        <v>656</v>
      </c>
      <c r="V26" s="178"/>
      <c r="W26" s="178" t="s">
        <v>25</v>
      </c>
      <c r="X26" s="178"/>
      <c r="Y26" s="176" t="s">
        <v>2</v>
      </c>
      <c r="Z26" s="180"/>
    </row>
    <row r="27" spans="1:26" ht="102" x14ac:dyDescent="0.2">
      <c r="A27" s="174" t="s">
        <v>320</v>
      </c>
      <c r="B27" s="188" t="s">
        <v>180</v>
      </c>
      <c r="C27" s="176" t="s">
        <v>94</v>
      </c>
      <c r="D27" s="181">
        <v>39</v>
      </c>
      <c r="E27" s="181">
        <v>1</v>
      </c>
      <c r="F27" s="181">
        <v>1</v>
      </c>
      <c r="G27" s="181">
        <v>1</v>
      </c>
      <c r="H27" s="181">
        <v>1</v>
      </c>
      <c r="I27" s="181">
        <v>65</v>
      </c>
      <c r="J27" s="181">
        <v>65</v>
      </c>
      <c r="K27" s="181">
        <v>65</v>
      </c>
      <c r="L27" s="179" t="s">
        <v>3</v>
      </c>
      <c r="M27" s="179" t="s">
        <v>3</v>
      </c>
      <c r="N27" s="179" t="s">
        <v>3</v>
      </c>
      <c r="O27" s="179" t="s">
        <v>3</v>
      </c>
      <c r="P27" s="179" t="s">
        <v>3</v>
      </c>
      <c r="Q27" s="179" t="s">
        <v>3</v>
      </c>
      <c r="R27" s="179" t="s">
        <v>3</v>
      </c>
      <c r="S27" s="179" t="s">
        <v>3</v>
      </c>
      <c r="T27" s="178">
        <v>0</v>
      </c>
      <c r="U27" s="232" t="s">
        <v>658</v>
      </c>
      <c r="V27" s="232" t="s">
        <v>659</v>
      </c>
      <c r="W27" s="178" t="s">
        <v>25</v>
      </c>
      <c r="X27" s="178"/>
      <c r="Y27" s="176" t="s">
        <v>2</v>
      </c>
      <c r="Z27" s="180"/>
    </row>
    <row r="28" spans="1:26" ht="114.75" x14ac:dyDescent="0.2">
      <c r="A28" s="190" t="s">
        <v>321</v>
      </c>
      <c r="B28" s="191" t="s">
        <v>180</v>
      </c>
      <c r="C28" s="192" t="s">
        <v>94</v>
      </c>
      <c r="D28" s="198">
        <v>40</v>
      </c>
      <c r="E28" s="198">
        <v>1</v>
      </c>
      <c r="F28" s="198">
        <v>1</v>
      </c>
      <c r="G28" s="198">
        <v>1</v>
      </c>
      <c r="H28" s="198">
        <v>1</v>
      </c>
      <c r="I28" s="198">
        <v>8</v>
      </c>
      <c r="J28" s="198">
        <v>8</v>
      </c>
      <c r="K28" s="198">
        <v>8</v>
      </c>
      <c r="L28" s="196" t="s">
        <v>3</v>
      </c>
      <c r="M28" s="196" t="s">
        <v>3</v>
      </c>
      <c r="N28" s="196" t="s">
        <v>3</v>
      </c>
      <c r="O28" s="196" t="s">
        <v>3</v>
      </c>
      <c r="P28" s="196" t="s">
        <v>3</v>
      </c>
      <c r="Q28" s="196" t="s">
        <v>3</v>
      </c>
      <c r="R28" s="196" t="s">
        <v>3</v>
      </c>
      <c r="S28" s="196" t="s">
        <v>3</v>
      </c>
      <c r="T28" s="195">
        <v>0</v>
      </c>
      <c r="U28" s="231" t="s">
        <v>656</v>
      </c>
      <c r="V28" s="231" t="s">
        <v>657</v>
      </c>
      <c r="W28" s="195" t="s">
        <v>25</v>
      </c>
      <c r="X28" s="195"/>
      <c r="Y28" s="192" t="s">
        <v>2</v>
      </c>
      <c r="Z28" s="197"/>
    </row>
    <row r="32" spans="1:26" x14ac:dyDescent="0.2">
      <c r="F32" s="235"/>
    </row>
  </sheetData>
  <conditionalFormatting sqref="A1:B1 E12 O2 R2:S2 F4:F10 D4:E11 G10:H10 G6:H6 G7:J9 D3:J3 D17:J17 G2:K2 G4:J5 L11:L17 D13:F16 G11:J16 N2:N3 U2:V19 X2:Y2 L3:L5 L7:L9 D27:K28 O3:Q3 U27:X28 D18:K19 U25:X25 N5 N7 M3:M15 P24:P25 T24:X24 P22:X23 P19:Q19 T21:X21 T19 P16:P18 R16:R18 M15:P15 M11:N14 Z3:Z19 Z27:Z28 W3:X19 Z21:Z25 P21:Q21 D21:K25 P10:P13 P14:Q14 P4:Q9">
    <cfRule type="expression" dxfId="76" priority="37" stopIfTrue="1">
      <formula>MOD(ROW(#REF!),2)=0</formula>
    </cfRule>
  </conditionalFormatting>
  <conditionalFormatting sqref="Z2">
    <cfRule type="expression" dxfId="75" priority="35" stopIfTrue="1">
      <formula>MOD(ROW(#REF!),2)=0</formula>
    </cfRule>
  </conditionalFormatting>
  <conditionalFormatting sqref="D2:E2 M2 P2">
    <cfRule type="expression" dxfId="74" priority="36" stopIfTrue="1">
      <formula>MOD(ROW(#REF!),2)=0</formula>
    </cfRule>
  </conditionalFormatting>
  <conditionalFormatting sqref="T2">
    <cfRule type="expression" dxfId="73" priority="33" stopIfTrue="1">
      <formula>MOD(ROW(#REF!),2)=0</formula>
    </cfRule>
  </conditionalFormatting>
  <conditionalFormatting sqref="W2">
    <cfRule type="expression" dxfId="72" priority="34" stopIfTrue="1">
      <formula>MOD(ROW(#REF!),2)=0</formula>
    </cfRule>
  </conditionalFormatting>
  <conditionalFormatting sqref="Q2">
    <cfRule type="expression" dxfId="71" priority="32" stopIfTrue="1">
      <formula>MOD(ROW(#REF!),2)=0</formula>
    </cfRule>
  </conditionalFormatting>
  <conditionalFormatting sqref="F2">
    <cfRule type="expression" dxfId="70" priority="30" stopIfTrue="1">
      <formula>MOD(ROW(#REF!),2)=0</formula>
    </cfRule>
  </conditionalFormatting>
  <conditionalFormatting sqref="F11:F12">
    <cfRule type="expression" dxfId="69" priority="29" stopIfTrue="1">
      <formula>MOD(ROW(#REF!),2)=0</formula>
    </cfRule>
  </conditionalFormatting>
  <conditionalFormatting sqref="C1">
    <cfRule type="expression" dxfId="68" priority="28" stopIfTrue="1">
      <formula>MOD(ROW(#REF!),2)=0</formula>
    </cfRule>
  </conditionalFormatting>
  <conditionalFormatting sqref="I10:J10 L10">
    <cfRule type="expression" dxfId="67" priority="27" stopIfTrue="1">
      <formula>MOD(ROW(#REF!),2)=0</formula>
    </cfRule>
  </conditionalFormatting>
  <conditionalFormatting sqref="I6:J6 L6">
    <cfRule type="expression" dxfId="66" priority="26" stopIfTrue="1">
      <formula>MOD(ROW(#REF!),2)=0</formula>
    </cfRule>
  </conditionalFormatting>
  <conditionalFormatting sqref="K7:K9 K3:K5 K11:K17">
    <cfRule type="expression" dxfId="65" priority="25" stopIfTrue="1">
      <formula>MOD(ROW(#REF!),2)=0</formula>
    </cfRule>
  </conditionalFormatting>
  <conditionalFormatting sqref="K10">
    <cfRule type="expression" dxfId="64" priority="24" stopIfTrue="1">
      <formula>MOD(ROW(#REF!),2)=0</formula>
    </cfRule>
  </conditionalFormatting>
  <conditionalFormatting sqref="K6">
    <cfRule type="expression" dxfId="63" priority="23" stopIfTrue="1">
      <formula>MOD(ROW(#REF!),2)=0</formula>
    </cfRule>
  </conditionalFormatting>
  <conditionalFormatting sqref="D26:K26 V26:X26 Z26">
    <cfRule type="expression" dxfId="62" priority="22" stopIfTrue="1">
      <formula>MOD(ROW(#REF!),2)=0</formula>
    </cfRule>
  </conditionalFormatting>
  <conditionalFormatting sqref="U26">
    <cfRule type="expression" dxfId="61" priority="21" stopIfTrue="1">
      <formula>MOD(ROW(#REF!),2)=0</formula>
    </cfRule>
  </conditionalFormatting>
  <conditionalFormatting sqref="T3:T18">
    <cfRule type="expression" dxfId="60" priority="20" stopIfTrue="1">
      <formula>MOD(ROW(#REF!),2)=0</formula>
    </cfRule>
  </conditionalFormatting>
  <conditionalFormatting sqref="T25:T28">
    <cfRule type="expression" dxfId="59" priority="19" stopIfTrue="1">
      <formula>MOD(ROW(#REF!),2)=0</formula>
    </cfRule>
  </conditionalFormatting>
  <conditionalFormatting sqref="N4:O4 O5:O14">
    <cfRule type="expression" dxfId="58" priority="18" stopIfTrue="1">
      <formula>MOD(ROW(#REF!),2)=0</formula>
    </cfRule>
  </conditionalFormatting>
  <conditionalFormatting sqref="N6">
    <cfRule type="expression" dxfId="57" priority="17" stopIfTrue="1">
      <formula>MOD(ROW(#REF!),2)=0</formula>
    </cfRule>
  </conditionalFormatting>
  <conditionalFormatting sqref="N8:N10">
    <cfRule type="expression" dxfId="56" priority="16" stopIfTrue="1">
      <formula>MOD(ROW(#REF!),2)=0</formula>
    </cfRule>
  </conditionalFormatting>
  <conditionalFormatting sqref="L18:O19 L21:O25">
    <cfRule type="expression" dxfId="55" priority="15" stopIfTrue="1">
      <formula>MOD(ROW(#REF!),2)=0</formula>
    </cfRule>
  </conditionalFormatting>
  <conditionalFormatting sqref="M16:O17">
    <cfRule type="expression" dxfId="54" priority="14" stopIfTrue="1">
      <formula>MOD(ROW(#REF!),2)=0</formula>
    </cfRule>
  </conditionalFormatting>
  <conditionalFormatting sqref="L26:S28">
    <cfRule type="expression" dxfId="53" priority="13" stopIfTrue="1">
      <formula>MOD(ROW(#REF!),2)=0</formula>
    </cfRule>
  </conditionalFormatting>
  <conditionalFormatting sqref="Q24:S25">
    <cfRule type="expression" dxfId="52" priority="12" stopIfTrue="1">
      <formula>MOD(ROW(#REF!),2)=0</formula>
    </cfRule>
  </conditionalFormatting>
  <conditionalFormatting sqref="R19:S19 R21:S21">
    <cfRule type="expression" dxfId="51" priority="11" stopIfTrue="1">
      <formula>MOD(ROW(#REF!),2)=0</formula>
    </cfRule>
  </conditionalFormatting>
  <conditionalFormatting sqref="S3:S18">
    <cfRule type="expression" dxfId="50" priority="10" stopIfTrue="1">
      <formula>MOD(ROW(#REF!),2)=0</formula>
    </cfRule>
  </conditionalFormatting>
  <conditionalFormatting sqref="R3:R15">
    <cfRule type="expression" dxfId="49" priority="9" stopIfTrue="1">
      <formula>MOD(ROW(#REF!),2)=0</formula>
    </cfRule>
  </conditionalFormatting>
  <conditionalFormatting sqref="Q15:Q18">
    <cfRule type="expression" dxfId="48" priority="8" stopIfTrue="1">
      <formula>MOD(ROW(#REF!),2)=0</formula>
    </cfRule>
  </conditionalFormatting>
  <conditionalFormatting sqref="Q10:Q13">
    <cfRule type="expression" dxfId="47" priority="7" stopIfTrue="1">
      <formula>MOD(ROW(#REF!),2)=0</formula>
    </cfRule>
  </conditionalFormatting>
  <conditionalFormatting sqref="Y3:Y19 Y21:Y28">
    <cfRule type="expression" dxfId="46" priority="6" stopIfTrue="1">
      <formula>MOD(ROW(#REF!),2)=0</formula>
    </cfRule>
  </conditionalFormatting>
  <conditionalFormatting sqref="L2">
    <cfRule type="expression" dxfId="45" priority="5" stopIfTrue="1">
      <formula>MOD(ROW(#REF!),2)=0</formula>
    </cfRule>
  </conditionalFormatting>
  <conditionalFormatting sqref="D20:K20 P20:Q20 Z20 T20:X20">
    <cfRule type="expression" dxfId="44" priority="4" stopIfTrue="1">
      <formula>MOD(ROW(#REF!),2)=0</formula>
    </cfRule>
  </conditionalFormatting>
  <conditionalFormatting sqref="L20:O20">
    <cfRule type="expression" dxfId="43" priority="3" stopIfTrue="1">
      <formula>MOD(ROW(#REF!),2)=0</formula>
    </cfRule>
  </conditionalFormatting>
  <conditionalFormatting sqref="R20:S20">
    <cfRule type="expression" dxfId="42" priority="2" stopIfTrue="1">
      <formula>MOD(ROW(#REF!),2)=0</formula>
    </cfRule>
  </conditionalFormatting>
  <conditionalFormatting sqref="Y20">
    <cfRule type="expression" dxfId="41" priority="1" stopIfTrue="1">
      <formula>MOD(ROW(#REF!),2)=0</formula>
    </cfRule>
  </conditionalFormatting>
  <pageMargins left="0.7" right="0.7" top="0.78740157499999996" bottom="0.78740157499999996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39997558519241921"/>
  </sheetPr>
  <dimension ref="A1:AB17"/>
  <sheetViews>
    <sheetView workbookViewId="0">
      <selection activeCell="H15" sqref="H15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11" customWidth="1"/>
    <col min="4" max="4" width="10" customWidth="1"/>
    <col min="6" max="6" width="13" customWidth="1"/>
    <col min="7" max="7" width="13.85546875" customWidth="1"/>
    <col min="8" max="8" width="17" customWidth="1"/>
    <col min="9" max="9" width="13.7109375" customWidth="1"/>
    <col min="10" max="10" width="12.85546875" customWidth="1"/>
    <col min="12" max="12" width="15.28515625" customWidth="1"/>
    <col min="13" max="13" width="14.7109375" customWidth="1"/>
    <col min="14" max="15" width="13.28515625" customWidth="1"/>
    <col min="16" max="16" width="24.85546875" bestFit="1" customWidth="1"/>
  </cols>
  <sheetData>
    <row r="1" spans="1:28" ht="88.5" customHeight="1" x14ac:dyDescent="0.2">
      <c r="A1" s="146" t="s">
        <v>0</v>
      </c>
      <c r="B1" s="145" t="s">
        <v>174</v>
      </c>
      <c r="C1" s="145" t="s">
        <v>325</v>
      </c>
      <c r="D1" s="144" t="s">
        <v>97</v>
      </c>
      <c r="E1" s="144" t="s">
        <v>98</v>
      </c>
      <c r="F1" s="144" t="s">
        <v>99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8" ht="20.25" customHeight="1" thickBot="1" x14ac:dyDescent="0.25">
      <c r="A2" s="141"/>
      <c r="B2" s="139"/>
      <c r="C2" s="139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8" ht="15" thickTop="1" x14ac:dyDescent="0.2">
      <c r="A3" s="174" t="s">
        <v>159</v>
      </c>
      <c r="B3" s="175" t="s">
        <v>180</v>
      </c>
      <c r="C3" s="176" t="s">
        <v>94</v>
      </c>
      <c r="D3" s="178">
        <v>23</v>
      </c>
      <c r="E3" s="178">
        <v>30</v>
      </c>
      <c r="F3" s="178">
        <v>230</v>
      </c>
      <c r="G3" s="178">
        <v>160</v>
      </c>
      <c r="H3" s="178">
        <v>5</v>
      </c>
      <c r="I3" s="178">
        <v>0</v>
      </c>
      <c r="J3" s="178">
        <v>1439</v>
      </c>
      <c r="K3" s="178">
        <v>0</v>
      </c>
      <c r="L3" s="178" t="s">
        <v>2</v>
      </c>
      <c r="M3" s="178" t="s">
        <v>3</v>
      </c>
      <c r="N3" s="178" t="s">
        <v>3</v>
      </c>
      <c r="O3" s="178" t="s">
        <v>3</v>
      </c>
      <c r="P3" s="176" t="s">
        <v>2</v>
      </c>
      <c r="Q3" s="176" t="s">
        <v>2</v>
      </c>
      <c r="R3" s="178" t="s">
        <v>3</v>
      </c>
      <c r="S3" s="178" t="s">
        <v>3</v>
      </c>
      <c r="T3" s="178">
        <v>0</v>
      </c>
      <c r="U3" s="178"/>
      <c r="V3" s="178"/>
      <c r="W3" s="178" t="s">
        <v>45</v>
      </c>
      <c r="X3" s="178"/>
      <c r="Y3" s="176" t="s">
        <v>2</v>
      </c>
      <c r="Z3" s="180"/>
    </row>
    <row r="4" spans="1:28" ht="14.25" x14ac:dyDescent="0.2">
      <c r="A4" s="174" t="s">
        <v>160</v>
      </c>
      <c r="B4" s="177" t="s">
        <v>180</v>
      </c>
      <c r="C4" s="176" t="s">
        <v>94</v>
      </c>
      <c r="D4" s="178">
        <v>46</v>
      </c>
      <c r="E4" s="178">
        <v>30</v>
      </c>
      <c r="F4" s="178">
        <v>230</v>
      </c>
      <c r="G4" s="178">
        <v>160</v>
      </c>
      <c r="H4" s="178">
        <v>5</v>
      </c>
      <c r="I4" s="178">
        <v>0</v>
      </c>
      <c r="J4" s="178">
        <v>1439</v>
      </c>
      <c r="K4" s="178">
        <v>0</v>
      </c>
      <c r="L4" s="178" t="s">
        <v>2</v>
      </c>
      <c r="M4" s="178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3</v>
      </c>
      <c r="T4" s="178">
        <v>0</v>
      </c>
      <c r="U4" s="178"/>
      <c r="V4" s="178"/>
      <c r="W4" s="178" t="s">
        <v>45</v>
      </c>
      <c r="X4" s="178"/>
      <c r="Y4" s="176" t="s">
        <v>2</v>
      </c>
      <c r="Z4" s="180"/>
    </row>
    <row r="5" spans="1:28" ht="14.25" x14ac:dyDescent="0.2">
      <c r="A5" s="174" t="s">
        <v>4</v>
      </c>
      <c r="B5" s="177" t="s">
        <v>180</v>
      </c>
      <c r="C5" s="176" t="s">
        <v>94</v>
      </c>
      <c r="D5" s="178">
        <v>2</v>
      </c>
      <c r="E5" s="178">
        <v>30</v>
      </c>
      <c r="F5" s="178">
        <v>230</v>
      </c>
      <c r="G5" s="178">
        <v>170</v>
      </c>
      <c r="H5" s="178">
        <v>5</v>
      </c>
      <c r="I5" s="178">
        <v>0</v>
      </c>
      <c r="J5" s="178">
        <v>1439</v>
      </c>
      <c r="K5" s="178">
        <v>0</v>
      </c>
      <c r="L5" s="178" t="s">
        <v>2</v>
      </c>
      <c r="M5" s="176" t="s">
        <v>2</v>
      </c>
      <c r="N5" s="178" t="s">
        <v>2</v>
      </c>
      <c r="O5" s="178" t="s">
        <v>2</v>
      </c>
      <c r="P5" s="176" t="s">
        <v>2</v>
      </c>
      <c r="Q5" s="176" t="s">
        <v>2</v>
      </c>
      <c r="R5" s="178" t="s">
        <v>3</v>
      </c>
      <c r="S5" s="178" t="s">
        <v>2</v>
      </c>
      <c r="T5" s="178">
        <v>0</v>
      </c>
      <c r="U5" s="178"/>
      <c r="V5" s="178"/>
      <c r="W5" s="178" t="s">
        <v>45</v>
      </c>
      <c r="X5" s="178"/>
      <c r="Y5" s="176" t="s">
        <v>2</v>
      </c>
      <c r="Z5" s="180"/>
    </row>
    <row r="6" spans="1:28" ht="14.25" x14ac:dyDescent="0.2">
      <c r="A6" s="174" t="s">
        <v>161</v>
      </c>
      <c r="B6" s="177" t="s">
        <v>180</v>
      </c>
      <c r="C6" s="176" t="s">
        <v>94</v>
      </c>
      <c r="D6" s="178">
        <v>3</v>
      </c>
      <c r="E6" s="178">
        <v>30</v>
      </c>
      <c r="F6" s="178">
        <v>230</v>
      </c>
      <c r="G6" s="178">
        <v>170</v>
      </c>
      <c r="H6" s="178">
        <v>5</v>
      </c>
      <c r="I6" s="178">
        <v>0</v>
      </c>
      <c r="J6" s="178">
        <v>1439</v>
      </c>
      <c r="K6" s="178">
        <v>0</v>
      </c>
      <c r="L6" s="178" t="s">
        <v>2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3</v>
      </c>
      <c r="T6" s="178">
        <v>0</v>
      </c>
      <c r="U6" s="178"/>
      <c r="V6" s="178"/>
      <c r="W6" s="178" t="s">
        <v>45</v>
      </c>
      <c r="X6" s="178"/>
      <c r="Y6" s="176" t="s">
        <v>2</v>
      </c>
      <c r="Z6" s="180"/>
    </row>
    <row r="7" spans="1:28" ht="14.25" x14ac:dyDescent="0.2">
      <c r="A7" s="174" t="s">
        <v>162</v>
      </c>
      <c r="B7" s="177" t="s">
        <v>180</v>
      </c>
      <c r="C7" s="176" t="s">
        <v>94</v>
      </c>
      <c r="D7" s="178">
        <v>6</v>
      </c>
      <c r="E7" s="178">
        <v>30</v>
      </c>
      <c r="F7" s="178">
        <v>230</v>
      </c>
      <c r="G7" s="178">
        <v>180</v>
      </c>
      <c r="H7" s="178">
        <v>5</v>
      </c>
      <c r="I7" s="178">
        <v>0</v>
      </c>
      <c r="J7" s="178">
        <v>1439</v>
      </c>
      <c r="K7" s="178">
        <v>0</v>
      </c>
      <c r="L7" s="178" t="s">
        <v>2</v>
      </c>
      <c r="M7" s="178" t="s">
        <v>3</v>
      </c>
      <c r="N7" s="178" t="s">
        <v>2</v>
      </c>
      <c r="O7" s="178" t="s">
        <v>2</v>
      </c>
      <c r="P7" s="176" t="s">
        <v>2</v>
      </c>
      <c r="Q7" s="176" t="s">
        <v>2</v>
      </c>
      <c r="R7" s="178" t="s">
        <v>3</v>
      </c>
      <c r="S7" s="178" t="s">
        <v>2</v>
      </c>
      <c r="T7" s="178">
        <v>0</v>
      </c>
      <c r="U7" s="178"/>
      <c r="V7" s="178"/>
      <c r="W7" s="178" t="s">
        <v>45</v>
      </c>
      <c r="X7" s="178"/>
      <c r="Y7" s="176" t="s">
        <v>2</v>
      </c>
      <c r="Z7" s="180"/>
    </row>
    <row r="8" spans="1:28" ht="14.25" x14ac:dyDescent="0.2">
      <c r="A8" s="174" t="s">
        <v>165</v>
      </c>
      <c r="B8" s="177" t="s">
        <v>180</v>
      </c>
      <c r="C8" s="176" t="s">
        <v>94</v>
      </c>
      <c r="D8" s="178">
        <v>24</v>
      </c>
      <c r="E8" s="178">
        <v>70</v>
      </c>
      <c r="F8" s="178">
        <v>120</v>
      </c>
      <c r="G8" s="178">
        <v>80</v>
      </c>
      <c r="H8" s="178">
        <v>5</v>
      </c>
      <c r="I8" s="178">
        <v>0</v>
      </c>
      <c r="J8" s="178">
        <v>1439</v>
      </c>
      <c r="K8" s="178">
        <v>0</v>
      </c>
      <c r="L8" s="178" t="s">
        <v>2</v>
      </c>
      <c r="M8" s="178" t="s">
        <v>3</v>
      </c>
      <c r="N8" s="178" t="s">
        <v>3</v>
      </c>
      <c r="O8" s="178" t="s">
        <v>3</v>
      </c>
      <c r="P8" s="176" t="s">
        <v>2</v>
      </c>
      <c r="Q8" s="178" t="s">
        <v>3</v>
      </c>
      <c r="R8" s="178" t="s">
        <v>3</v>
      </c>
      <c r="S8" s="178" t="s">
        <v>3</v>
      </c>
      <c r="T8" s="178">
        <v>0</v>
      </c>
      <c r="U8" s="178"/>
      <c r="V8" s="178"/>
      <c r="W8" s="178" t="s">
        <v>45</v>
      </c>
      <c r="X8" s="178"/>
      <c r="Y8" s="176" t="s">
        <v>2</v>
      </c>
      <c r="Z8" s="180"/>
    </row>
    <row r="9" spans="1:28" ht="14.25" x14ac:dyDescent="0.2">
      <c r="A9" s="174" t="s">
        <v>5</v>
      </c>
      <c r="B9" s="177" t="s">
        <v>180</v>
      </c>
      <c r="C9" s="176" t="s">
        <v>94</v>
      </c>
      <c r="D9" s="178">
        <v>8</v>
      </c>
      <c r="E9" s="179">
        <v>1</v>
      </c>
      <c r="F9" s="179">
        <v>3</v>
      </c>
      <c r="G9" s="179">
        <v>3</v>
      </c>
      <c r="H9" s="179">
        <v>1</v>
      </c>
      <c r="I9" s="178">
        <v>0</v>
      </c>
      <c r="J9" s="178">
        <v>1439</v>
      </c>
      <c r="K9" s="178">
        <v>0</v>
      </c>
      <c r="L9" s="178" t="s">
        <v>2</v>
      </c>
      <c r="M9" s="178" t="s">
        <v>3</v>
      </c>
      <c r="N9" s="178" t="s">
        <v>3</v>
      </c>
      <c r="O9" s="178" t="s">
        <v>2</v>
      </c>
      <c r="P9" s="178" t="s">
        <v>3</v>
      </c>
      <c r="Q9" s="178" t="s">
        <v>3</v>
      </c>
      <c r="R9" s="178" t="s">
        <v>3</v>
      </c>
      <c r="S9" s="178" t="s">
        <v>3</v>
      </c>
      <c r="T9" s="178">
        <v>0</v>
      </c>
      <c r="U9" s="178"/>
      <c r="V9" s="178"/>
      <c r="W9" s="178" t="s">
        <v>45</v>
      </c>
      <c r="X9" s="178"/>
      <c r="Y9" s="176" t="s">
        <v>2</v>
      </c>
      <c r="Z9" s="180"/>
    </row>
    <row r="10" spans="1:28" ht="14.25" x14ac:dyDescent="0.2">
      <c r="A10" s="174" t="s">
        <v>6</v>
      </c>
      <c r="B10" s="177" t="s">
        <v>180</v>
      </c>
      <c r="C10" s="176" t="s">
        <v>94</v>
      </c>
      <c r="D10" s="178">
        <v>7</v>
      </c>
      <c r="E10" s="179">
        <v>1</v>
      </c>
      <c r="F10" s="179">
        <v>3</v>
      </c>
      <c r="G10" s="179">
        <v>3</v>
      </c>
      <c r="H10" s="179">
        <v>1</v>
      </c>
      <c r="I10" s="178">
        <v>0</v>
      </c>
      <c r="J10" s="178">
        <v>1439</v>
      </c>
      <c r="K10" s="178">
        <v>0</v>
      </c>
      <c r="L10" s="178" t="s">
        <v>2</v>
      </c>
      <c r="M10" s="178" t="s">
        <v>3</v>
      </c>
      <c r="N10" s="178" t="s">
        <v>3</v>
      </c>
      <c r="O10" s="178" t="s">
        <v>2</v>
      </c>
      <c r="P10" s="178" t="s">
        <v>3</v>
      </c>
      <c r="Q10" s="178" t="s">
        <v>3</v>
      </c>
      <c r="R10" s="178" t="s">
        <v>3</v>
      </c>
      <c r="S10" s="178" t="s">
        <v>3</v>
      </c>
      <c r="T10" s="178">
        <v>0</v>
      </c>
      <c r="U10" s="178"/>
      <c r="V10" s="178"/>
      <c r="W10" s="178" t="s">
        <v>45</v>
      </c>
      <c r="X10" s="178"/>
      <c r="Y10" s="176" t="s">
        <v>2</v>
      </c>
      <c r="Z10" s="180"/>
    </row>
    <row r="11" spans="1:28" ht="14.25" x14ac:dyDescent="0.2">
      <c r="A11" s="174" t="s">
        <v>7</v>
      </c>
      <c r="B11" s="177" t="s">
        <v>180</v>
      </c>
      <c r="C11" s="176" t="s">
        <v>94</v>
      </c>
      <c r="D11" s="178">
        <v>11</v>
      </c>
      <c r="E11" s="178">
        <v>30</v>
      </c>
      <c r="F11" s="178">
        <v>230</v>
      </c>
      <c r="G11" s="178">
        <v>150</v>
      </c>
      <c r="H11" s="178">
        <v>5</v>
      </c>
      <c r="I11" s="178">
        <v>0</v>
      </c>
      <c r="J11" s="178">
        <v>1439</v>
      </c>
      <c r="K11" s="178">
        <v>0</v>
      </c>
      <c r="L11" s="178" t="s">
        <v>2</v>
      </c>
      <c r="M11" s="178" t="s">
        <v>3</v>
      </c>
      <c r="N11" s="178" t="s">
        <v>3</v>
      </c>
      <c r="O11" s="178" t="s">
        <v>3</v>
      </c>
      <c r="P11" s="176" t="s">
        <v>2</v>
      </c>
      <c r="Q11" s="176" t="s">
        <v>2</v>
      </c>
      <c r="R11" s="178" t="s">
        <v>3</v>
      </c>
      <c r="S11" s="178" t="s">
        <v>3</v>
      </c>
      <c r="T11" s="178">
        <v>0</v>
      </c>
      <c r="U11" s="178"/>
      <c r="V11" s="178"/>
      <c r="W11" s="178" t="s">
        <v>45</v>
      </c>
      <c r="X11" s="178"/>
      <c r="Y11" s="176" t="s">
        <v>2</v>
      </c>
      <c r="Z11" s="180"/>
    </row>
    <row r="12" spans="1:28" ht="14.25" x14ac:dyDescent="0.2">
      <c r="A12" s="174" t="s">
        <v>8</v>
      </c>
      <c r="B12" s="177" t="s">
        <v>180</v>
      </c>
      <c r="C12" s="176" t="s">
        <v>94</v>
      </c>
      <c r="D12" s="178">
        <v>14</v>
      </c>
      <c r="E12" s="178">
        <v>50</v>
      </c>
      <c r="F12" s="178">
        <v>100</v>
      </c>
      <c r="G12" s="178">
        <v>65</v>
      </c>
      <c r="H12" s="178">
        <v>5</v>
      </c>
      <c r="I12" s="178">
        <v>0</v>
      </c>
      <c r="J12" s="178">
        <v>1439</v>
      </c>
      <c r="K12" s="178">
        <v>0</v>
      </c>
      <c r="L12" s="178" t="s">
        <v>2</v>
      </c>
      <c r="M12" s="178" t="s">
        <v>3</v>
      </c>
      <c r="N12" s="178" t="s">
        <v>2</v>
      </c>
      <c r="O12" s="178" t="s">
        <v>3</v>
      </c>
      <c r="P12" s="176" t="s">
        <v>2</v>
      </c>
      <c r="Q12" s="178" t="s">
        <v>3</v>
      </c>
      <c r="R12" s="178" t="s">
        <v>3</v>
      </c>
      <c r="S12" s="178" t="s">
        <v>2</v>
      </c>
      <c r="T12" s="178">
        <v>0</v>
      </c>
      <c r="U12" s="178"/>
      <c r="V12" s="178"/>
      <c r="W12" s="178" t="s">
        <v>45</v>
      </c>
      <c r="X12" s="178"/>
      <c r="Y12" s="176" t="s">
        <v>2</v>
      </c>
      <c r="Z12" s="180"/>
    </row>
    <row r="13" spans="1:28" ht="14.25" x14ac:dyDescent="0.2">
      <c r="A13" s="174" t="s">
        <v>9</v>
      </c>
      <c r="B13" s="177" t="s">
        <v>180</v>
      </c>
      <c r="C13" s="176" t="s">
        <v>94</v>
      </c>
      <c r="D13" s="178">
        <v>15</v>
      </c>
      <c r="E13" s="178">
        <v>30</v>
      </c>
      <c r="F13" s="178">
        <v>70</v>
      </c>
      <c r="G13" s="178">
        <v>50</v>
      </c>
      <c r="H13" s="178">
        <v>5</v>
      </c>
      <c r="I13" s="178">
        <v>0</v>
      </c>
      <c r="J13" s="178">
        <v>1439</v>
      </c>
      <c r="K13" s="178">
        <v>0</v>
      </c>
      <c r="L13" s="178" t="s">
        <v>2</v>
      </c>
      <c r="M13" s="178" t="s">
        <v>3</v>
      </c>
      <c r="N13" s="178" t="s">
        <v>3</v>
      </c>
      <c r="O13" s="178" t="s">
        <v>3</v>
      </c>
      <c r="P13" s="176" t="s">
        <v>2</v>
      </c>
      <c r="Q13" s="178" t="s">
        <v>3</v>
      </c>
      <c r="R13" s="178" t="s">
        <v>3</v>
      </c>
      <c r="S13" s="178" t="s">
        <v>3</v>
      </c>
      <c r="T13" s="178">
        <v>0</v>
      </c>
      <c r="U13" s="178"/>
      <c r="V13" s="178"/>
      <c r="W13" s="178" t="s">
        <v>45</v>
      </c>
      <c r="X13" s="178"/>
      <c r="Y13" s="176" t="s">
        <v>2</v>
      </c>
      <c r="Z13" s="180"/>
    </row>
    <row r="14" spans="1:28" ht="14.25" x14ac:dyDescent="0.2">
      <c r="A14" s="174" t="s">
        <v>166</v>
      </c>
      <c r="B14" s="177" t="s">
        <v>180</v>
      </c>
      <c r="C14" s="176" t="s">
        <v>94</v>
      </c>
      <c r="D14" s="178">
        <v>21</v>
      </c>
      <c r="E14" s="178">
        <v>85</v>
      </c>
      <c r="F14" s="178">
        <v>140</v>
      </c>
      <c r="G14" s="178">
        <v>85</v>
      </c>
      <c r="H14" s="178">
        <v>5</v>
      </c>
      <c r="I14" s="178">
        <v>30</v>
      </c>
      <c r="J14" s="178">
        <v>1439</v>
      </c>
      <c r="K14" s="178">
        <v>1439</v>
      </c>
      <c r="L14" s="178" t="s">
        <v>3</v>
      </c>
      <c r="M14" s="178" t="s">
        <v>3</v>
      </c>
      <c r="N14" s="178" t="s">
        <v>3</v>
      </c>
      <c r="O14" s="178" t="s">
        <v>3</v>
      </c>
      <c r="P14" s="176" t="s">
        <v>2</v>
      </c>
      <c r="Q14" s="178" t="s">
        <v>3</v>
      </c>
      <c r="R14" s="178" t="s">
        <v>2</v>
      </c>
      <c r="S14" s="178" t="s">
        <v>3</v>
      </c>
      <c r="T14" s="178">
        <v>0</v>
      </c>
      <c r="U14" s="178"/>
      <c r="V14" s="178"/>
      <c r="W14" s="178" t="s">
        <v>45</v>
      </c>
      <c r="X14" s="178"/>
      <c r="Y14" s="176" t="s">
        <v>2</v>
      </c>
      <c r="Z14" s="180"/>
    </row>
    <row r="15" spans="1:28" ht="14.25" x14ac:dyDescent="0.2">
      <c r="A15" s="174" t="s">
        <v>172</v>
      </c>
      <c r="B15" s="182" t="s">
        <v>180</v>
      </c>
      <c r="C15" s="176" t="s">
        <v>94</v>
      </c>
      <c r="D15" s="178">
        <v>64</v>
      </c>
      <c r="E15" s="178">
        <v>90</v>
      </c>
      <c r="F15" s="178">
        <v>800</v>
      </c>
      <c r="G15" s="178">
        <v>600</v>
      </c>
      <c r="H15" s="178">
        <v>10</v>
      </c>
      <c r="I15" s="178">
        <v>0</v>
      </c>
      <c r="J15" s="178">
        <v>120</v>
      </c>
      <c r="K15" s="178">
        <v>1</v>
      </c>
      <c r="L15" s="178" t="s">
        <v>3</v>
      </c>
      <c r="M15" s="178" t="s">
        <v>3</v>
      </c>
      <c r="N15" s="178" t="s">
        <v>3</v>
      </c>
      <c r="O15" s="178" t="s">
        <v>3</v>
      </c>
      <c r="P15" s="176" t="s">
        <v>2</v>
      </c>
      <c r="Q15" s="176" t="s">
        <v>2</v>
      </c>
      <c r="R15" s="178" t="s">
        <v>3</v>
      </c>
      <c r="S15" s="178" t="s">
        <v>3</v>
      </c>
      <c r="T15" s="178">
        <v>0</v>
      </c>
      <c r="U15" s="178"/>
      <c r="V15" s="178"/>
      <c r="W15" s="178" t="s">
        <v>324</v>
      </c>
      <c r="X15" s="178"/>
      <c r="Y15" s="176" t="s">
        <v>2</v>
      </c>
      <c r="Z15" s="180"/>
    </row>
    <row r="16" spans="1:28" ht="14.25" x14ac:dyDescent="0.2">
      <c r="A16" s="190" t="s">
        <v>334</v>
      </c>
      <c r="B16" s="191" t="s">
        <v>180</v>
      </c>
      <c r="C16" s="194" t="s">
        <v>94</v>
      </c>
      <c r="D16" s="195">
        <v>57</v>
      </c>
      <c r="E16" s="195">
        <v>1</v>
      </c>
      <c r="F16" s="195">
        <v>1</v>
      </c>
      <c r="G16" s="195">
        <v>1</v>
      </c>
      <c r="H16" s="195">
        <v>1</v>
      </c>
      <c r="I16" s="195">
        <v>1</v>
      </c>
      <c r="J16" s="195">
        <v>1</v>
      </c>
      <c r="K16" s="195">
        <v>1</v>
      </c>
      <c r="L16" s="195" t="s">
        <v>3</v>
      </c>
      <c r="M16" s="195" t="s">
        <v>3</v>
      </c>
      <c r="N16" s="195" t="s">
        <v>3</v>
      </c>
      <c r="O16" s="195" t="s">
        <v>3</v>
      </c>
      <c r="P16" s="195" t="s">
        <v>3</v>
      </c>
      <c r="Q16" s="195" t="s">
        <v>3</v>
      </c>
      <c r="R16" s="195" t="s">
        <v>3</v>
      </c>
      <c r="S16" s="195" t="s">
        <v>3</v>
      </c>
      <c r="T16" s="195">
        <v>0</v>
      </c>
      <c r="U16" s="195"/>
      <c r="V16" s="195"/>
      <c r="W16" s="195" t="s">
        <v>25</v>
      </c>
      <c r="X16" s="195"/>
      <c r="Y16" s="192" t="s">
        <v>2</v>
      </c>
      <c r="Z16" s="197"/>
      <c r="AA16" s="234"/>
      <c r="AB16" s="180"/>
    </row>
    <row r="17" spans="3:3" x14ac:dyDescent="0.2">
      <c r="C17" s="233"/>
    </row>
  </sheetData>
  <conditionalFormatting sqref="A1:B1 E10 F8:H8 F6:H6 F4:J5 F7:J7 R2:S2 N2:O2 U2:V2 X2:Y2 D4:E9 F9:J10 L5:Q5 D3:J3 D14:K15 D11:J13 L7 L9:L13 N7:Q7 P6:Q6 N12 O9:O10 P8 P15:Q15 L3:L4 P3:Q4 P11:Q11 S5 P12:P14 R14 S12 S7 U3:X14 Z3:Z15 U15:V15 X15">
    <cfRule type="expression" dxfId="40" priority="47" stopIfTrue="1">
      <formula>MOD(ROW(#REF!),2)=0</formula>
    </cfRule>
  </conditionalFormatting>
  <conditionalFormatting sqref="Z2">
    <cfRule type="expression" dxfId="39" priority="45" stopIfTrue="1">
      <formula>MOD(ROW(#REF!),2)=0</formula>
    </cfRule>
  </conditionalFormatting>
  <conditionalFormatting sqref="Q2">
    <cfRule type="expression" dxfId="38" priority="42" stopIfTrue="1">
      <formula>MOD(ROW(#REF!),2)=0</formula>
    </cfRule>
  </conditionalFormatting>
  <conditionalFormatting sqref="M2 P2 D2:K2">
    <cfRule type="expression" dxfId="37" priority="46" stopIfTrue="1">
      <formula>MOD(ROW(#REF!),2)=0</formula>
    </cfRule>
  </conditionalFormatting>
  <conditionalFormatting sqref="W2">
    <cfRule type="expression" dxfId="36" priority="44" stopIfTrue="1">
      <formula>MOD(ROW(#REF!),2)=0</formula>
    </cfRule>
  </conditionalFormatting>
  <conditionalFormatting sqref="T2">
    <cfRule type="expression" dxfId="35" priority="43" stopIfTrue="1">
      <formula>MOD(ROW(#REF!),2)=0</formula>
    </cfRule>
  </conditionalFormatting>
  <conditionalFormatting sqref="C1">
    <cfRule type="expression" dxfId="34" priority="33" stopIfTrue="1">
      <formula>MOD(ROW(#REF!),2)=0</formula>
    </cfRule>
  </conditionalFormatting>
  <conditionalFormatting sqref="I8:J8 L8">
    <cfRule type="expression" dxfId="33" priority="32" stopIfTrue="1">
      <formula>MOD(ROW(#REF!),2)=0</formula>
    </cfRule>
  </conditionalFormatting>
  <conditionalFormatting sqref="I6:J6 L6">
    <cfRule type="expression" dxfId="32" priority="31" stopIfTrue="1">
      <formula>MOD(ROW(#REF!),2)=0</formula>
    </cfRule>
  </conditionalFormatting>
  <conditionalFormatting sqref="D16:K16 P16:X16 T3:T15 Z16:AB16">
    <cfRule type="expression" dxfId="31" priority="24" stopIfTrue="1">
      <formula>MOD(ROW(#REF!),2)=0</formula>
    </cfRule>
  </conditionalFormatting>
  <conditionalFormatting sqref="K7 K3:K5 K9:K13">
    <cfRule type="expression" dxfId="30" priority="23" stopIfTrue="1">
      <formula>MOD(ROW(#REF!),2)=0</formula>
    </cfRule>
  </conditionalFormatting>
  <conditionalFormatting sqref="K8">
    <cfRule type="expression" dxfId="29" priority="22" stopIfTrue="1">
      <formula>MOD(ROW(#REF!),2)=0</formula>
    </cfRule>
  </conditionalFormatting>
  <conditionalFormatting sqref="K6">
    <cfRule type="expression" dxfId="28" priority="21" stopIfTrue="1">
      <formula>MOD(ROW(#REF!),2)=0</formula>
    </cfRule>
  </conditionalFormatting>
  <conditionalFormatting sqref="L14:O16">
    <cfRule type="expression" dxfId="27" priority="20" stopIfTrue="1">
      <formula>MOD(ROW(#REF!),2)=0</formula>
    </cfRule>
  </conditionalFormatting>
  <conditionalFormatting sqref="M13:O13">
    <cfRule type="expression" dxfId="26" priority="19" stopIfTrue="1">
      <formula>MOD(ROW(#REF!),2)=0</formula>
    </cfRule>
  </conditionalFormatting>
  <conditionalFormatting sqref="M6:M12">
    <cfRule type="expression" dxfId="25" priority="18" stopIfTrue="1">
      <formula>MOD(ROW(#REF!),2)=0</formula>
    </cfRule>
  </conditionalFormatting>
  <conditionalFormatting sqref="N6:O6">
    <cfRule type="expression" dxfId="24" priority="17" stopIfTrue="1">
      <formula>MOD(ROW(#REF!),2)=0</formula>
    </cfRule>
  </conditionalFormatting>
  <conditionalFormatting sqref="N8:N11">
    <cfRule type="expression" dxfId="23" priority="16" stopIfTrue="1">
      <formula>MOD(ROW(#REF!),2)=0</formula>
    </cfRule>
  </conditionalFormatting>
  <conditionalFormatting sqref="O8">
    <cfRule type="expression" dxfId="22" priority="15" stopIfTrue="1">
      <formula>MOD(ROW(#REF!),2)=0</formula>
    </cfRule>
  </conditionalFormatting>
  <conditionalFormatting sqref="O11:O12">
    <cfRule type="expression" dxfId="21" priority="14" stopIfTrue="1">
      <formula>MOD(ROW(#REF!),2)=0</formula>
    </cfRule>
  </conditionalFormatting>
  <conditionalFormatting sqref="P9:P10">
    <cfRule type="expression" dxfId="20" priority="13" stopIfTrue="1">
      <formula>MOD(ROW(#REF!),2)=0</formula>
    </cfRule>
  </conditionalFormatting>
  <conditionalFormatting sqref="M3:O4">
    <cfRule type="expression" dxfId="19" priority="12" stopIfTrue="1">
      <formula>MOD(ROW(#REF!),2)=0</formula>
    </cfRule>
  </conditionalFormatting>
  <conditionalFormatting sqref="Q8:Q10">
    <cfRule type="expression" dxfId="18" priority="11" stopIfTrue="1">
      <formula>MOD(ROW(#REF!),2)=0</formula>
    </cfRule>
  </conditionalFormatting>
  <conditionalFormatting sqref="R3:R13">
    <cfRule type="expression" dxfId="17" priority="10" stopIfTrue="1">
      <formula>MOD(ROW(#REF!),2)=0</formula>
    </cfRule>
  </conditionalFormatting>
  <conditionalFormatting sqref="Q12:Q14">
    <cfRule type="expression" dxfId="16" priority="9" stopIfTrue="1">
      <formula>MOD(ROW(#REF!),2)=0</formula>
    </cfRule>
  </conditionalFormatting>
  <conditionalFormatting sqref="R15:S15">
    <cfRule type="expression" dxfId="15" priority="8" stopIfTrue="1">
      <formula>MOD(ROW(#REF!),2)=0</formula>
    </cfRule>
  </conditionalFormatting>
  <conditionalFormatting sqref="S13:S14">
    <cfRule type="expression" dxfId="14" priority="7" stopIfTrue="1">
      <formula>MOD(ROW(#REF!),2)=0</formula>
    </cfRule>
  </conditionalFormatting>
  <conditionalFormatting sqref="S8:S11">
    <cfRule type="expression" dxfId="13" priority="6" stopIfTrue="1">
      <formula>MOD(ROW(#REF!),2)=0</formula>
    </cfRule>
  </conditionalFormatting>
  <conditionalFormatting sqref="S6">
    <cfRule type="expression" dxfId="12" priority="5" stopIfTrue="1">
      <formula>MOD(ROW(#REF!),2)=0</formula>
    </cfRule>
  </conditionalFormatting>
  <conditionalFormatting sqref="S3:S4">
    <cfRule type="expression" dxfId="11" priority="4" stopIfTrue="1">
      <formula>MOD(ROW(#REF!),2)=0</formula>
    </cfRule>
  </conditionalFormatting>
  <conditionalFormatting sqref="Y3:Y16">
    <cfRule type="expression" dxfId="10" priority="3" stopIfTrue="1">
      <formula>MOD(ROW(#REF!),2)=0</formula>
    </cfRule>
  </conditionalFormatting>
  <conditionalFormatting sqref="L2">
    <cfRule type="expression" dxfId="9" priority="2" stopIfTrue="1">
      <formula>MOD(ROW(#REF!),2)=0</formula>
    </cfRule>
  </conditionalFormatting>
  <conditionalFormatting sqref="W15">
    <cfRule type="expression" dxfId="8" priority="1" stopIfTrue="1">
      <formula>MOD(ROW(#REF!),2)=0</formula>
    </cfRule>
  </conditionalFormatting>
  <pageMargins left="0.7" right="0.7" top="0.78740157499999996" bottom="0.78740157499999996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Z9"/>
  <sheetViews>
    <sheetView topLeftCell="B1" workbookViewId="0">
      <selection activeCell="U26" sqref="U26"/>
    </sheetView>
  </sheetViews>
  <sheetFormatPr baseColWidth="10" defaultRowHeight="12.75" x14ac:dyDescent="0.2"/>
  <cols>
    <col min="1" max="1" width="21.140625" customWidth="1"/>
    <col min="2" max="2" width="11.85546875" customWidth="1"/>
    <col min="3" max="3" width="10.7109375" customWidth="1"/>
    <col min="4" max="4" width="14.42578125" customWidth="1"/>
    <col min="5" max="5" width="14.5703125" customWidth="1"/>
    <col min="6" max="6" width="11" customWidth="1"/>
    <col min="7" max="7" width="10" customWidth="1"/>
    <col min="9" max="9" width="9.140625" customWidth="1"/>
    <col min="10" max="10" width="12.7109375" customWidth="1"/>
    <col min="11" max="11" width="13" customWidth="1"/>
    <col min="12" max="12" width="13.85546875" customWidth="1"/>
    <col min="13" max="13" width="17" customWidth="1"/>
    <col min="14" max="14" width="13.7109375" customWidth="1"/>
    <col min="15" max="15" width="12.85546875" customWidth="1"/>
    <col min="17" max="17" width="15.28515625" customWidth="1"/>
    <col min="18" max="18" width="14.7109375" customWidth="1"/>
    <col min="19" max="20" width="13.28515625" customWidth="1"/>
    <col min="21" max="21" width="36.28515625" customWidth="1"/>
    <col min="22" max="22" width="19.140625" customWidth="1"/>
  </cols>
  <sheetData>
    <row r="1" spans="1:26" ht="88.5" customHeight="1" x14ac:dyDescent="0.2">
      <c r="A1" s="146" t="s">
        <v>0</v>
      </c>
      <c r="B1" s="145" t="s">
        <v>174</v>
      </c>
      <c r="C1" s="145" t="s">
        <v>185</v>
      </c>
      <c r="D1" s="144" t="s">
        <v>97</v>
      </c>
      <c r="E1" s="144" t="s">
        <v>98</v>
      </c>
      <c r="F1" s="144" t="s">
        <v>171</v>
      </c>
      <c r="G1" s="144" t="s">
        <v>100</v>
      </c>
      <c r="H1" s="144" t="s">
        <v>312</v>
      </c>
      <c r="I1" s="144" t="s">
        <v>101</v>
      </c>
      <c r="J1" s="144" t="s">
        <v>139</v>
      </c>
      <c r="K1" s="144" t="s">
        <v>186</v>
      </c>
      <c r="L1" s="144" t="s">
        <v>154</v>
      </c>
      <c r="M1" s="144" t="s">
        <v>110</v>
      </c>
      <c r="N1" s="144" t="s">
        <v>111</v>
      </c>
      <c r="O1" s="144" t="s">
        <v>134</v>
      </c>
      <c r="P1" s="144" t="s">
        <v>153</v>
      </c>
      <c r="Q1" s="144" t="s">
        <v>151</v>
      </c>
      <c r="R1" s="144" t="s">
        <v>152</v>
      </c>
      <c r="S1" s="144" t="s">
        <v>106</v>
      </c>
      <c r="T1" s="143" t="s">
        <v>108</v>
      </c>
      <c r="U1" s="143" t="s">
        <v>310</v>
      </c>
      <c r="V1" s="143" t="s">
        <v>311</v>
      </c>
      <c r="W1" s="143" t="s">
        <v>148</v>
      </c>
      <c r="X1" s="143" t="s">
        <v>103</v>
      </c>
      <c r="Y1" s="143" t="s">
        <v>104</v>
      </c>
      <c r="Z1" s="142" t="s">
        <v>46</v>
      </c>
    </row>
    <row r="2" spans="1:26" ht="20.25" customHeight="1" thickBot="1" x14ac:dyDescent="0.25">
      <c r="A2" s="141"/>
      <c r="B2" s="139"/>
      <c r="C2" s="139"/>
      <c r="D2" s="138" t="s">
        <v>13</v>
      </c>
      <c r="E2" s="138" t="s">
        <v>42</v>
      </c>
      <c r="F2" s="138" t="s">
        <v>42</v>
      </c>
      <c r="G2" s="138" t="s">
        <v>42</v>
      </c>
      <c r="H2" s="138" t="s">
        <v>42</v>
      </c>
      <c r="I2" s="138" t="s">
        <v>43</v>
      </c>
      <c r="J2" s="138" t="s">
        <v>43</v>
      </c>
      <c r="K2" s="138" t="s">
        <v>43</v>
      </c>
      <c r="L2" s="137" t="s">
        <v>44</v>
      </c>
      <c r="M2" s="137" t="s">
        <v>44</v>
      </c>
      <c r="N2" s="137" t="s">
        <v>44</v>
      </c>
      <c r="O2" s="137" t="s">
        <v>44</v>
      </c>
      <c r="P2" s="137" t="s">
        <v>44</v>
      </c>
      <c r="Q2" s="137" t="s">
        <v>44</v>
      </c>
      <c r="R2" s="137" t="s">
        <v>44</v>
      </c>
      <c r="S2" s="137" t="s">
        <v>44</v>
      </c>
      <c r="T2" s="137" t="s">
        <v>82</v>
      </c>
      <c r="U2" s="137"/>
      <c r="V2" s="137"/>
      <c r="W2" s="137" t="s">
        <v>149</v>
      </c>
      <c r="X2" s="137" t="s">
        <v>42</v>
      </c>
      <c r="Y2" s="137" t="s">
        <v>44</v>
      </c>
      <c r="Z2" s="136"/>
    </row>
    <row r="3" spans="1:26" ht="15.75" thickTop="1" x14ac:dyDescent="0.2">
      <c r="A3" s="174" t="s">
        <v>167</v>
      </c>
      <c r="B3" s="182" t="s">
        <v>180</v>
      </c>
      <c r="C3" s="183" t="s">
        <v>94</v>
      </c>
      <c r="D3" s="178">
        <v>32</v>
      </c>
      <c r="E3" s="178">
        <v>30</v>
      </c>
      <c r="F3" s="178">
        <v>100</v>
      </c>
      <c r="G3" s="178">
        <v>100</v>
      </c>
      <c r="H3" s="178">
        <v>5</v>
      </c>
      <c r="I3" s="178">
        <v>1</v>
      </c>
      <c r="J3" s="178">
        <v>240</v>
      </c>
      <c r="K3" s="178">
        <v>20</v>
      </c>
      <c r="L3" s="178" t="s">
        <v>3</v>
      </c>
      <c r="M3" s="178" t="s">
        <v>3</v>
      </c>
      <c r="N3" s="178" t="s">
        <v>3</v>
      </c>
      <c r="O3" s="178" t="s">
        <v>3</v>
      </c>
      <c r="P3" s="176" t="s">
        <v>2</v>
      </c>
      <c r="Q3" s="176" t="s">
        <v>2</v>
      </c>
      <c r="R3" s="178" t="s">
        <v>3</v>
      </c>
      <c r="S3" s="178" t="s">
        <v>2</v>
      </c>
      <c r="T3" s="178">
        <v>1</v>
      </c>
      <c r="U3" s="178"/>
      <c r="V3" s="178"/>
      <c r="W3" s="178" t="s">
        <v>190</v>
      </c>
      <c r="X3" s="178"/>
      <c r="Y3" s="178" t="s">
        <v>2</v>
      </c>
      <c r="Z3" s="180"/>
    </row>
    <row r="4" spans="1:26" ht="15" x14ac:dyDescent="0.2">
      <c r="A4" s="174" t="s">
        <v>168</v>
      </c>
      <c r="B4" s="177" t="s">
        <v>180</v>
      </c>
      <c r="C4" s="184" t="s">
        <v>94</v>
      </c>
      <c r="D4" s="178">
        <v>37</v>
      </c>
      <c r="E4" s="178">
        <v>80</v>
      </c>
      <c r="F4" s="178">
        <v>180</v>
      </c>
      <c r="G4" s="178">
        <v>120</v>
      </c>
      <c r="H4" s="178">
        <v>5</v>
      </c>
      <c r="I4" s="178">
        <v>1</v>
      </c>
      <c r="J4" s="178">
        <v>240</v>
      </c>
      <c r="K4" s="178">
        <v>10</v>
      </c>
      <c r="L4" s="178" t="s">
        <v>3</v>
      </c>
      <c r="M4" s="178" t="s">
        <v>3</v>
      </c>
      <c r="N4" s="178" t="s">
        <v>3</v>
      </c>
      <c r="O4" s="178" t="s">
        <v>3</v>
      </c>
      <c r="P4" s="176" t="s">
        <v>2</v>
      </c>
      <c r="Q4" s="176" t="s">
        <v>2</v>
      </c>
      <c r="R4" s="178" t="s">
        <v>3</v>
      </c>
      <c r="S4" s="178" t="s">
        <v>2</v>
      </c>
      <c r="T4" s="178">
        <v>1</v>
      </c>
      <c r="U4" s="178"/>
      <c r="V4" s="178"/>
      <c r="W4" s="178" t="s">
        <v>190</v>
      </c>
      <c r="X4" s="178"/>
      <c r="Y4" s="178" t="s">
        <v>2</v>
      </c>
      <c r="Z4" s="180"/>
    </row>
    <row r="5" spans="1:26" ht="15" x14ac:dyDescent="0.2">
      <c r="A5" s="174" t="s">
        <v>156</v>
      </c>
      <c r="B5" s="177" t="s">
        <v>180</v>
      </c>
      <c r="C5" s="184" t="s">
        <v>94</v>
      </c>
      <c r="D5" s="178">
        <v>51</v>
      </c>
      <c r="E5" s="178">
        <v>30</v>
      </c>
      <c r="F5" s="178">
        <v>50</v>
      </c>
      <c r="G5" s="178">
        <v>40</v>
      </c>
      <c r="H5" s="178">
        <v>5</v>
      </c>
      <c r="I5" s="178">
        <v>1</v>
      </c>
      <c r="J5" s="178">
        <v>240</v>
      </c>
      <c r="K5" s="178">
        <v>30</v>
      </c>
      <c r="L5" s="178" t="s">
        <v>3</v>
      </c>
      <c r="M5" s="178" t="s">
        <v>3</v>
      </c>
      <c r="N5" s="178" t="s">
        <v>3</v>
      </c>
      <c r="O5" s="178" t="s">
        <v>3</v>
      </c>
      <c r="P5" s="176" t="s">
        <v>2</v>
      </c>
      <c r="Q5" s="178" t="s">
        <v>3</v>
      </c>
      <c r="R5" s="178" t="s">
        <v>3</v>
      </c>
      <c r="S5" s="178" t="s">
        <v>2</v>
      </c>
      <c r="T5" s="178">
        <v>1</v>
      </c>
      <c r="U5" s="178"/>
      <c r="V5" s="178"/>
      <c r="W5" s="178" t="s">
        <v>190</v>
      </c>
      <c r="X5" s="178"/>
      <c r="Y5" s="178" t="s">
        <v>2</v>
      </c>
      <c r="Z5" s="180"/>
    </row>
    <row r="6" spans="1:26" ht="15" x14ac:dyDescent="0.2">
      <c r="A6" s="174" t="s">
        <v>169</v>
      </c>
      <c r="B6" s="177" t="s">
        <v>180</v>
      </c>
      <c r="C6" s="184" t="s">
        <v>94</v>
      </c>
      <c r="D6" s="178">
        <v>63</v>
      </c>
      <c r="E6" s="178">
        <v>50</v>
      </c>
      <c r="F6" s="178">
        <v>95</v>
      </c>
      <c r="G6" s="178">
        <v>60</v>
      </c>
      <c r="H6" s="178">
        <v>5</v>
      </c>
      <c r="I6" s="178">
        <v>1</v>
      </c>
      <c r="J6" s="178">
        <v>240</v>
      </c>
      <c r="K6" s="178">
        <v>60</v>
      </c>
      <c r="L6" s="178" t="s">
        <v>3</v>
      </c>
      <c r="M6" s="178" t="s">
        <v>3</v>
      </c>
      <c r="N6" s="178" t="s">
        <v>3</v>
      </c>
      <c r="O6" s="178" t="s">
        <v>3</v>
      </c>
      <c r="P6" s="176" t="s">
        <v>2</v>
      </c>
      <c r="Q6" s="176" t="s">
        <v>2</v>
      </c>
      <c r="R6" s="178" t="s">
        <v>3</v>
      </c>
      <c r="S6" s="178" t="s">
        <v>2</v>
      </c>
      <c r="T6" s="178">
        <v>1</v>
      </c>
      <c r="U6" s="178"/>
      <c r="V6" s="178"/>
      <c r="W6" s="178" t="s">
        <v>190</v>
      </c>
      <c r="X6" s="178"/>
      <c r="Y6" s="178" t="s">
        <v>2</v>
      </c>
      <c r="Z6" s="180"/>
    </row>
    <row r="7" spans="1:26" ht="15" x14ac:dyDescent="0.2">
      <c r="A7" s="174" t="s">
        <v>175</v>
      </c>
      <c r="B7" s="177" t="s">
        <v>180</v>
      </c>
      <c r="C7" s="184" t="s">
        <v>94</v>
      </c>
      <c r="D7" s="178">
        <v>53</v>
      </c>
      <c r="E7" s="178">
        <v>30</v>
      </c>
      <c r="F7" s="178">
        <v>60</v>
      </c>
      <c r="G7" s="178">
        <v>30</v>
      </c>
      <c r="H7" s="178">
        <v>5</v>
      </c>
      <c r="I7" s="178">
        <v>1</v>
      </c>
      <c r="J7" s="178">
        <v>240</v>
      </c>
      <c r="K7" s="178">
        <v>30</v>
      </c>
      <c r="L7" s="178" t="s">
        <v>3</v>
      </c>
      <c r="M7" s="178" t="s">
        <v>3</v>
      </c>
      <c r="N7" s="178" t="s">
        <v>3</v>
      </c>
      <c r="O7" s="178" t="s">
        <v>3</v>
      </c>
      <c r="P7" s="176" t="s">
        <v>2</v>
      </c>
      <c r="Q7" s="178" t="s">
        <v>3</v>
      </c>
      <c r="R7" s="178" t="s">
        <v>3</v>
      </c>
      <c r="S7" s="178" t="s">
        <v>2</v>
      </c>
      <c r="T7" s="178">
        <v>1</v>
      </c>
      <c r="U7" s="178"/>
      <c r="V7" s="178"/>
      <c r="W7" s="185" t="s">
        <v>190</v>
      </c>
      <c r="X7" s="178"/>
      <c r="Y7" s="178" t="s">
        <v>2</v>
      </c>
      <c r="Z7" s="180"/>
    </row>
    <row r="8" spans="1:26" ht="14.25" x14ac:dyDescent="0.2">
      <c r="A8" s="174" t="s">
        <v>320</v>
      </c>
      <c r="B8" s="188" t="s">
        <v>180</v>
      </c>
      <c r="C8" s="189" t="s">
        <v>94</v>
      </c>
      <c r="D8" s="178">
        <v>39</v>
      </c>
      <c r="E8" s="178">
        <v>60</v>
      </c>
      <c r="F8" s="178">
        <v>60</v>
      </c>
      <c r="G8" s="178">
        <v>60</v>
      </c>
      <c r="H8" s="178">
        <v>1</v>
      </c>
      <c r="I8" s="181" t="s">
        <v>660</v>
      </c>
      <c r="J8" s="181" t="s">
        <v>660</v>
      </c>
      <c r="K8" s="181" t="s">
        <v>660</v>
      </c>
      <c r="L8" s="178" t="s">
        <v>3</v>
      </c>
      <c r="M8" s="178" t="s">
        <v>3</v>
      </c>
      <c r="N8" s="178" t="s">
        <v>3</v>
      </c>
      <c r="O8" s="178" t="s">
        <v>3</v>
      </c>
      <c r="P8" s="178" t="s">
        <v>3</v>
      </c>
      <c r="Q8" s="178" t="s">
        <v>3</v>
      </c>
      <c r="R8" s="178" t="s">
        <v>3</v>
      </c>
      <c r="S8" s="178" t="s">
        <v>2</v>
      </c>
      <c r="T8" s="178">
        <v>0</v>
      </c>
      <c r="U8" s="178"/>
      <c r="V8" s="178"/>
      <c r="W8" s="178" t="s">
        <v>25</v>
      </c>
      <c r="X8" s="178"/>
      <c r="Y8" s="178" t="s">
        <v>2</v>
      </c>
      <c r="Z8" s="180"/>
    </row>
    <row r="9" spans="1:26" ht="14.25" x14ac:dyDescent="0.2">
      <c r="A9" s="190" t="s">
        <v>321</v>
      </c>
      <c r="B9" s="191" t="s">
        <v>180</v>
      </c>
      <c r="C9" s="194" t="s">
        <v>94</v>
      </c>
      <c r="D9" s="195">
        <v>40</v>
      </c>
      <c r="E9" s="195">
        <v>40</v>
      </c>
      <c r="F9" s="195">
        <v>40</v>
      </c>
      <c r="G9" s="195">
        <v>40</v>
      </c>
      <c r="H9" s="195">
        <v>1</v>
      </c>
      <c r="I9" s="195">
        <v>30</v>
      </c>
      <c r="J9" s="195">
        <v>30</v>
      </c>
      <c r="K9" s="195">
        <v>30</v>
      </c>
      <c r="L9" s="195" t="s">
        <v>3</v>
      </c>
      <c r="M9" s="195" t="s">
        <v>3</v>
      </c>
      <c r="N9" s="195" t="s">
        <v>3</v>
      </c>
      <c r="O9" s="195" t="s">
        <v>3</v>
      </c>
      <c r="P9" s="195" t="s">
        <v>3</v>
      </c>
      <c r="Q9" s="195" t="s">
        <v>3</v>
      </c>
      <c r="R9" s="195" t="s">
        <v>3</v>
      </c>
      <c r="S9" s="195" t="s">
        <v>2</v>
      </c>
      <c r="T9" s="195">
        <v>0</v>
      </c>
      <c r="U9" s="195"/>
      <c r="V9" s="195"/>
      <c r="W9" s="195" t="s">
        <v>25</v>
      </c>
      <c r="X9" s="195"/>
      <c r="Y9" s="195" t="s">
        <v>2</v>
      </c>
      <c r="Z9" s="197"/>
    </row>
  </sheetData>
  <conditionalFormatting sqref="A1:C1 R2:S2 N2:O2 U2:V2 X2:Y2 G2:K2 D3:Z9">
    <cfRule type="expression" dxfId="7" priority="24" stopIfTrue="1">
      <formula>MOD(ROW(#REF!),2)=0</formula>
    </cfRule>
  </conditionalFormatting>
  <conditionalFormatting sqref="Z2">
    <cfRule type="expression" dxfId="6" priority="22" stopIfTrue="1">
      <formula>MOD(ROW(#REF!),2)=0</formula>
    </cfRule>
  </conditionalFormatting>
  <conditionalFormatting sqref="Q2">
    <cfRule type="expression" dxfId="5" priority="19" stopIfTrue="1">
      <formula>MOD(ROW(#REF!),2)=0</formula>
    </cfRule>
  </conditionalFormatting>
  <conditionalFormatting sqref="F2">
    <cfRule type="expression" dxfId="4" priority="15" stopIfTrue="1">
      <formula>MOD(ROW(#REF!),2)=0</formula>
    </cfRule>
  </conditionalFormatting>
  <conditionalFormatting sqref="D2:E2 M2 P2">
    <cfRule type="expression" dxfId="3" priority="23" stopIfTrue="1">
      <formula>MOD(ROW(#REF!),2)=0</formula>
    </cfRule>
  </conditionalFormatting>
  <conditionalFormatting sqref="W2">
    <cfRule type="expression" dxfId="2" priority="21" stopIfTrue="1">
      <formula>MOD(ROW(#REF!),2)=0</formula>
    </cfRule>
  </conditionalFormatting>
  <conditionalFormatting sqref="T2">
    <cfRule type="expression" dxfId="1" priority="20" stopIfTrue="1">
      <formula>MOD(ROW(#REF!),2)=0</formula>
    </cfRule>
  </conditionalFormatting>
  <conditionalFormatting sqref="L2">
    <cfRule type="expression" dxfId="0" priority="1" stopIfTrue="1">
      <formula>MOD(ROW(#REF!),2)=0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55" sqref="D55"/>
    </sheetView>
  </sheetViews>
  <sheetFormatPr baseColWidth="10" defaultRowHeight="12.75" x14ac:dyDescent="0.2"/>
  <cols>
    <col min="1" max="1" width="24.140625" customWidth="1"/>
    <col min="2" max="2" width="62.28515625" customWidth="1"/>
    <col min="3" max="3" width="15.28515625" style="1" customWidth="1"/>
    <col min="4" max="4" width="15.42578125" style="1" customWidth="1"/>
    <col min="5" max="5" width="8.28515625" style="87" customWidth="1"/>
    <col min="6" max="6" width="59.28515625" customWidth="1"/>
    <col min="7" max="7" width="24.7109375" customWidth="1"/>
  </cols>
  <sheetData>
    <row r="1" spans="1:6" x14ac:dyDescent="0.2">
      <c r="A1" s="58" t="s">
        <v>147</v>
      </c>
      <c r="B1" s="58" t="s">
        <v>86</v>
      </c>
      <c r="C1" s="59" t="s">
        <v>85</v>
      </c>
      <c r="D1" s="59" t="s">
        <v>93</v>
      </c>
      <c r="E1" s="86" t="s">
        <v>95</v>
      </c>
      <c r="F1" s="58" t="s">
        <v>89</v>
      </c>
    </row>
    <row r="2" spans="1:6" x14ac:dyDescent="0.2">
      <c r="A2" t="s">
        <v>146</v>
      </c>
      <c r="B2" s="155" t="s">
        <v>279</v>
      </c>
      <c r="C2" s="1" t="s">
        <v>280</v>
      </c>
      <c r="D2" s="1" t="s">
        <v>94</v>
      </c>
      <c r="E2" s="87">
        <v>1</v>
      </c>
    </row>
    <row r="3" spans="1:6" x14ac:dyDescent="0.2">
      <c r="A3" t="s">
        <v>123</v>
      </c>
      <c r="B3" s="155" t="s">
        <v>281</v>
      </c>
      <c r="C3" s="1" t="s">
        <v>282</v>
      </c>
      <c r="D3" s="1" t="s">
        <v>283</v>
      </c>
      <c r="E3" s="87">
        <v>1</v>
      </c>
    </row>
    <row r="4" spans="1:6" x14ac:dyDescent="0.2">
      <c r="A4" s="84" t="s">
        <v>83</v>
      </c>
      <c r="B4" s="84" t="s">
        <v>87</v>
      </c>
      <c r="C4" s="102">
        <v>1</v>
      </c>
      <c r="D4" s="59"/>
      <c r="E4" s="86">
        <v>2</v>
      </c>
      <c r="F4" s="58"/>
    </row>
    <row r="5" spans="1:6" x14ac:dyDescent="0.2">
      <c r="A5" t="s">
        <v>84</v>
      </c>
      <c r="B5" t="s">
        <v>87</v>
      </c>
      <c r="C5" s="1">
        <v>1</v>
      </c>
      <c r="E5" s="87">
        <v>2</v>
      </c>
    </row>
    <row r="6" spans="1:6" x14ac:dyDescent="0.2">
      <c r="A6" t="s">
        <v>144</v>
      </c>
      <c r="B6" t="s">
        <v>145</v>
      </c>
      <c r="C6" s="103">
        <v>0.5</v>
      </c>
      <c r="E6" s="87">
        <v>3</v>
      </c>
    </row>
    <row r="7" spans="1:6" x14ac:dyDescent="0.2">
      <c r="A7" t="s">
        <v>92</v>
      </c>
      <c r="B7" t="s">
        <v>87</v>
      </c>
      <c r="C7" s="1">
        <v>1</v>
      </c>
      <c r="E7" s="87">
        <v>4</v>
      </c>
    </row>
    <row r="8" spans="1:6" x14ac:dyDescent="0.2">
      <c r="A8" s="156" t="s">
        <v>143</v>
      </c>
      <c r="B8" s="156" t="s">
        <v>88</v>
      </c>
      <c r="C8" s="157">
        <v>1</v>
      </c>
      <c r="D8" s="157"/>
      <c r="E8" s="158">
        <v>2</v>
      </c>
      <c r="F8" s="156" t="s">
        <v>90</v>
      </c>
    </row>
    <row r="9" spans="1:6" x14ac:dyDescent="0.2">
      <c r="A9" s="156" t="s">
        <v>96</v>
      </c>
      <c r="B9" s="156" t="s">
        <v>87</v>
      </c>
      <c r="C9" s="157">
        <v>1</v>
      </c>
      <c r="D9" s="157"/>
      <c r="E9" s="158">
        <v>2</v>
      </c>
      <c r="F9" s="156" t="s">
        <v>91</v>
      </c>
    </row>
    <row r="10" spans="1:6" x14ac:dyDescent="0.2">
      <c r="A10" s="156" t="s">
        <v>141</v>
      </c>
      <c r="B10" s="156" t="s">
        <v>87</v>
      </c>
      <c r="C10" s="157">
        <v>1</v>
      </c>
      <c r="D10" s="157"/>
      <c r="E10" s="158">
        <v>2</v>
      </c>
      <c r="F10" s="156" t="s">
        <v>142</v>
      </c>
    </row>
  </sheetData>
  <pageMargins left="0.7" right="0.7" top="0.78740157499999996" bottom="0.78740157499999996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A9" sqref="A9"/>
    </sheetView>
  </sheetViews>
  <sheetFormatPr baseColWidth="10" defaultRowHeight="12.75" x14ac:dyDescent="0.2"/>
  <cols>
    <col min="1" max="1" width="30" customWidth="1"/>
    <col min="2" max="2" width="12.28515625" customWidth="1"/>
    <col min="3" max="3" width="36.7109375" customWidth="1"/>
    <col min="4" max="4" width="24.140625" customWidth="1"/>
  </cols>
  <sheetData>
    <row r="1" spans="1:3" x14ac:dyDescent="0.2">
      <c r="A1" s="58" t="s">
        <v>284</v>
      </c>
      <c r="B1" s="58" t="s">
        <v>285</v>
      </c>
      <c r="C1" s="58"/>
    </row>
    <row r="2" spans="1:3" ht="15" x14ac:dyDescent="0.2">
      <c r="A2" s="160" t="s">
        <v>286</v>
      </c>
      <c r="B2" s="88" t="s">
        <v>287</v>
      </c>
    </row>
    <row r="3" spans="1:3" ht="15" x14ac:dyDescent="0.2">
      <c r="A3" s="160" t="s">
        <v>307</v>
      </c>
      <c r="B3" t="s">
        <v>308</v>
      </c>
    </row>
    <row r="4" spans="1:3" ht="15" x14ac:dyDescent="0.2">
      <c r="A4" s="160" t="s">
        <v>292</v>
      </c>
      <c r="B4" s="89" t="s">
        <v>293</v>
      </c>
    </row>
    <row r="5" spans="1:3" ht="15" x14ac:dyDescent="0.2">
      <c r="A5" s="160" t="s">
        <v>294</v>
      </c>
      <c r="B5" s="89" t="s">
        <v>295</v>
      </c>
    </row>
    <row r="6" spans="1:3" ht="15" x14ac:dyDescent="0.2">
      <c r="A6" s="160" t="s">
        <v>276</v>
      </c>
      <c r="B6" s="89" t="s">
        <v>296</v>
      </c>
    </row>
    <row r="7" spans="1:3" ht="15" x14ac:dyDescent="0.2">
      <c r="A7" s="160" t="s">
        <v>297</v>
      </c>
      <c r="B7" s="89" t="s">
        <v>298</v>
      </c>
    </row>
    <row r="8" spans="1:3" ht="15" x14ac:dyDescent="0.2">
      <c r="A8" s="160" t="s">
        <v>299</v>
      </c>
      <c r="B8" s="89" t="s">
        <v>300</v>
      </c>
    </row>
    <row r="9" spans="1:3" x14ac:dyDescent="0.2">
      <c r="B9" s="89"/>
    </row>
    <row r="10" spans="1:3" ht="15" x14ac:dyDescent="0.2">
      <c r="A10" s="160" t="s">
        <v>278</v>
      </c>
    </row>
    <row r="11" spans="1:3" ht="15" x14ac:dyDescent="0.2">
      <c r="A11" s="160" t="s">
        <v>301</v>
      </c>
      <c r="B11" t="s">
        <v>302</v>
      </c>
    </row>
    <row r="12" spans="1:3" ht="15" x14ac:dyDescent="0.2">
      <c r="A12" s="160" t="s">
        <v>288</v>
      </c>
      <c r="B12" s="89" t="s">
        <v>289</v>
      </c>
    </row>
    <row r="13" spans="1:3" ht="15" x14ac:dyDescent="0.2">
      <c r="A13" s="160" t="s">
        <v>290</v>
      </c>
      <c r="B13" s="89" t="s">
        <v>291</v>
      </c>
    </row>
    <row r="14" spans="1:3" ht="15" x14ac:dyDescent="0.2">
      <c r="A14" s="160" t="s">
        <v>303</v>
      </c>
      <c r="B14" t="s">
        <v>304</v>
      </c>
    </row>
    <row r="15" spans="1:3" ht="15" x14ac:dyDescent="0.2">
      <c r="A15" s="160" t="s">
        <v>305</v>
      </c>
      <c r="B15" t="s">
        <v>306</v>
      </c>
    </row>
    <row r="40" spans="4:4" ht="15" x14ac:dyDescent="0.2">
      <c r="D40" s="159"/>
    </row>
    <row r="42" spans="4:4" ht="15" x14ac:dyDescent="0.2">
      <c r="D42" s="159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15" sqref="D15"/>
    </sheetView>
  </sheetViews>
  <sheetFormatPr baseColWidth="10" defaultRowHeight="12.75" x14ac:dyDescent="0.2"/>
  <cols>
    <col min="1" max="1" width="18.28515625" customWidth="1"/>
    <col min="2" max="2" width="8.7109375" customWidth="1"/>
    <col min="3" max="3" width="24.140625" customWidth="1"/>
  </cols>
  <sheetData>
    <row r="1" spans="1:2" x14ac:dyDescent="0.2">
      <c r="A1" s="58" t="s">
        <v>123</v>
      </c>
      <c r="B1" s="58" t="s">
        <v>122</v>
      </c>
    </row>
    <row r="2" spans="1:2" x14ac:dyDescent="0.2">
      <c r="A2" t="s">
        <v>124</v>
      </c>
      <c r="B2" s="89" t="s">
        <v>113</v>
      </c>
    </row>
    <row r="3" spans="1:2" x14ac:dyDescent="0.2">
      <c r="A3" t="s">
        <v>125</v>
      </c>
      <c r="B3" s="89" t="s">
        <v>114</v>
      </c>
    </row>
    <row r="4" spans="1:2" x14ac:dyDescent="0.2">
      <c r="A4" t="s">
        <v>126</v>
      </c>
      <c r="B4" s="89" t="s">
        <v>115</v>
      </c>
    </row>
    <row r="5" spans="1:2" x14ac:dyDescent="0.2">
      <c r="A5" t="s">
        <v>127</v>
      </c>
      <c r="B5" s="89" t="s">
        <v>116</v>
      </c>
    </row>
    <row r="6" spans="1:2" x14ac:dyDescent="0.2">
      <c r="A6" t="s">
        <v>128</v>
      </c>
      <c r="B6" s="89" t="s">
        <v>117</v>
      </c>
    </row>
    <row r="7" spans="1:2" x14ac:dyDescent="0.2">
      <c r="A7" t="s">
        <v>129</v>
      </c>
      <c r="B7" s="89" t="s">
        <v>118</v>
      </c>
    </row>
    <row r="8" spans="1:2" x14ac:dyDescent="0.2">
      <c r="A8" t="s">
        <v>130</v>
      </c>
      <c r="B8" s="89" t="s">
        <v>119</v>
      </c>
    </row>
    <row r="9" spans="1:2" x14ac:dyDescent="0.2">
      <c r="A9" t="s">
        <v>131</v>
      </c>
      <c r="B9" s="89" t="s">
        <v>120</v>
      </c>
    </row>
    <row r="10" spans="1:2" x14ac:dyDescent="0.2">
      <c r="A10" t="s">
        <v>132</v>
      </c>
      <c r="B10" s="89" t="s">
        <v>121</v>
      </c>
    </row>
    <row r="11" spans="1:2" x14ac:dyDescent="0.2">
      <c r="B11" s="88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baseColWidth="10" defaultRowHeight="12.75" x14ac:dyDescent="0.2"/>
  <cols>
    <col min="1" max="1" width="37.28515625" customWidth="1"/>
    <col min="2" max="2" width="34" customWidth="1"/>
  </cols>
  <sheetData>
    <row r="1" spans="1:2" x14ac:dyDescent="0.2">
      <c r="A1" t="s">
        <v>328</v>
      </c>
      <c r="B1">
        <v>64</v>
      </c>
    </row>
    <row r="2" spans="1:2" x14ac:dyDescent="0.2">
      <c r="A2" t="s">
        <v>329</v>
      </c>
      <c r="B2" t="s">
        <v>339</v>
      </c>
    </row>
    <row r="3" spans="1:2" x14ac:dyDescent="0.2">
      <c r="A3" t="s">
        <v>330</v>
      </c>
      <c r="B3" t="s">
        <v>339</v>
      </c>
    </row>
    <row r="4" spans="1:2" x14ac:dyDescent="0.2">
      <c r="A4" t="s">
        <v>331</v>
      </c>
      <c r="B4" t="s">
        <v>340</v>
      </c>
    </row>
    <row r="5" spans="1:2" x14ac:dyDescent="0.2">
      <c r="A5" t="s">
        <v>332</v>
      </c>
      <c r="B5" t="s">
        <v>340</v>
      </c>
    </row>
    <row r="6" spans="1:2" x14ac:dyDescent="0.2">
      <c r="A6" t="s">
        <v>335</v>
      </c>
      <c r="B6" t="s">
        <v>672</v>
      </c>
    </row>
    <row r="7" spans="1:2" x14ac:dyDescent="0.2">
      <c r="A7" t="s">
        <v>336</v>
      </c>
      <c r="B7" t="s">
        <v>338</v>
      </c>
    </row>
    <row r="8" spans="1:2" x14ac:dyDescent="0.2">
      <c r="A8" t="s">
        <v>333</v>
      </c>
      <c r="B8" t="s">
        <v>673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6"/>
  <sheetViews>
    <sheetView workbookViewId="0">
      <pane ySplit="1" topLeftCell="A5" activePane="bottomLeft" state="frozen"/>
      <selection pane="bottomLeft" activeCell="K32" sqref="K32"/>
    </sheetView>
  </sheetViews>
  <sheetFormatPr baseColWidth="10" defaultRowHeight="15" x14ac:dyDescent="0.25"/>
  <cols>
    <col min="1" max="1" width="7.85546875" style="12" customWidth="1"/>
    <col min="2" max="2" width="39.42578125" style="12" customWidth="1"/>
    <col min="3" max="3" width="6.42578125" style="12" customWidth="1"/>
    <col min="4" max="4" width="23.42578125" style="12" customWidth="1"/>
    <col min="5" max="5" width="6.42578125" style="12" customWidth="1"/>
    <col min="6" max="6" width="6.28515625" style="12" customWidth="1"/>
    <col min="7" max="7" width="8.85546875" style="223" customWidth="1"/>
    <col min="8" max="8" width="12.85546875" style="223" customWidth="1"/>
    <col min="9" max="9" width="14.140625" style="12" customWidth="1"/>
    <col min="10" max="10" width="25" style="12" customWidth="1"/>
    <col min="11" max="11" width="47.140625" style="12" customWidth="1"/>
    <col min="12" max="12" width="51.5703125" style="12" customWidth="1"/>
    <col min="13" max="13" width="7.85546875" style="12" customWidth="1"/>
    <col min="14" max="16384" width="11.42578125" style="12"/>
  </cols>
  <sheetData>
    <row r="1" spans="1:14" ht="30" x14ac:dyDescent="0.25">
      <c r="A1" s="199" t="s">
        <v>631</v>
      </c>
      <c r="B1" s="199" t="s">
        <v>341</v>
      </c>
      <c r="C1" s="200" t="s">
        <v>342</v>
      </c>
      <c r="D1" s="201" t="s">
        <v>343</v>
      </c>
      <c r="E1" s="202" t="s">
        <v>344</v>
      </c>
      <c r="F1" s="202" t="s">
        <v>345</v>
      </c>
      <c r="G1" s="200" t="s">
        <v>346</v>
      </c>
      <c r="H1" s="200" t="s">
        <v>347</v>
      </c>
      <c r="I1" s="203" t="s">
        <v>348</v>
      </c>
      <c r="J1" s="203" t="s">
        <v>349</v>
      </c>
      <c r="K1" s="203" t="s">
        <v>350</v>
      </c>
      <c r="L1" s="204" t="s">
        <v>351</v>
      </c>
      <c r="M1" s="199" t="s">
        <v>630</v>
      </c>
    </row>
    <row r="2" spans="1:14" x14ac:dyDescent="0.25">
      <c r="A2" s="224" t="s">
        <v>357</v>
      </c>
      <c r="B2" s="206" t="s">
        <v>358</v>
      </c>
      <c r="C2" s="208">
        <v>1</v>
      </c>
      <c r="D2" s="209" t="s">
        <v>359</v>
      </c>
      <c r="E2" s="210" t="s">
        <v>193</v>
      </c>
      <c r="F2" s="210" t="s">
        <v>352</v>
      </c>
      <c r="G2" s="208"/>
      <c r="H2" s="208"/>
      <c r="I2" s="210"/>
      <c r="J2" s="211"/>
      <c r="K2" s="211" t="s">
        <v>360</v>
      </c>
      <c r="L2" s="212" t="s">
        <v>361</v>
      </c>
      <c r="M2" s="205" t="s">
        <v>357</v>
      </c>
      <c r="N2" s="207"/>
    </row>
    <row r="3" spans="1:14" ht="30" x14ac:dyDescent="0.25">
      <c r="A3" s="224" t="s">
        <v>357</v>
      </c>
      <c r="B3" s="206" t="s">
        <v>362</v>
      </c>
      <c r="C3" s="208">
        <v>1</v>
      </c>
      <c r="D3" s="209" t="s">
        <v>359</v>
      </c>
      <c r="E3" s="210" t="s">
        <v>193</v>
      </c>
      <c r="F3" s="210" t="s">
        <v>352</v>
      </c>
      <c r="G3" s="208"/>
      <c r="H3" s="208"/>
      <c r="I3" s="210"/>
      <c r="J3" s="211" t="s">
        <v>363</v>
      </c>
      <c r="K3" s="211" t="s">
        <v>364</v>
      </c>
      <c r="L3" s="212" t="s">
        <v>365</v>
      </c>
      <c r="M3" s="205" t="s">
        <v>357</v>
      </c>
      <c r="N3" s="207"/>
    </row>
    <row r="4" spans="1:14" x14ac:dyDescent="0.25">
      <c r="A4" s="224" t="s">
        <v>366</v>
      </c>
      <c r="B4" s="206" t="s">
        <v>367</v>
      </c>
      <c r="C4" s="208">
        <v>1</v>
      </c>
      <c r="D4" s="209" t="s">
        <v>368</v>
      </c>
      <c r="E4" s="210" t="s">
        <v>638</v>
      </c>
      <c r="F4" s="210" t="s">
        <v>94</v>
      </c>
      <c r="G4" s="208"/>
      <c r="H4" s="208"/>
      <c r="I4" s="210"/>
      <c r="J4" s="210" t="s">
        <v>369</v>
      </c>
      <c r="K4" s="211" t="s">
        <v>370</v>
      </c>
      <c r="L4" s="212" t="s">
        <v>371</v>
      </c>
      <c r="M4" s="205" t="s">
        <v>366</v>
      </c>
      <c r="N4" s="207"/>
    </row>
    <row r="5" spans="1:14" x14ac:dyDescent="0.25">
      <c r="A5" s="224" t="s">
        <v>372</v>
      </c>
      <c r="B5" s="206" t="s">
        <v>373</v>
      </c>
      <c r="C5" s="208">
        <v>1</v>
      </c>
      <c r="D5" s="209" t="s">
        <v>374</v>
      </c>
      <c r="E5" s="210" t="s">
        <v>303</v>
      </c>
      <c r="F5" s="210" t="s">
        <v>638</v>
      </c>
      <c r="G5" s="208"/>
      <c r="H5" s="208"/>
      <c r="I5" s="210"/>
      <c r="J5" s="210"/>
      <c r="K5" s="211" t="s">
        <v>375</v>
      </c>
      <c r="L5" s="212" t="s">
        <v>376</v>
      </c>
      <c r="M5" s="205" t="s">
        <v>372</v>
      </c>
      <c r="N5" s="207"/>
    </row>
    <row r="6" spans="1:14" x14ac:dyDescent="0.25">
      <c r="A6" s="224" t="s">
        <v>372</v>
      </c>
      <c r="B6" s="206" t="s">
        <v>377</v>
      </c>
      <c r="C6" s="208">
        <v>1</v>
      </c>
      <c r="D6" s="209" t="s">
        <v>378</v>
      </c>
      <c r="E6" s="210" t="s">
        <v>303</v>
      </c>
      <c r="F6" s="210" t="s">
        <v>638</v>
      </c>
      <c r="G6" s="208"/>
      <c r="H6" s="208"/>
      <c r="I6" s="210"/>
      <c r="J6" s="210"/>
      <c r="K6" s="211" t="s">
        <v>379</v>
      </c>
      <c r="L6" s="212" t="s">
        <v>371</v>
      </c>
      <c r="M6" s="205" t="s">
        <v>372</v>
      </c>
      <c r="N6" s="207"/>
    </row>
    <row r="7" spans="1:14" x14ac:dyDescent="0.25">
      <c r="A7" s="224" t="s">
        <v>380</v>
      </c>
      <c r="B7" s="206" t="s">
        <v>381</v>
      </c>
      <c r="C7" s="208">
        <v>7</v>
      </c>
      <c r="D7" s="209" t="s">
        <v>382</v>
      </c>
      <c r="E7" s="210" t="s">
        <v>355</v>
      </c>
      <c r="F7" s="210" t="s">
        <v>638</v>
      </c>
      <c r="G7" s="208"/>
      <c r="H7" s="208"/>
      <c r="I7" s="210"/>
      <c r="J7" s="210"/>
      <c r="K7" s="210" t="s">
        <v>383</v>
      </c>
      <c r="L7" s="212"/>
      <c r="M7" s="205" t="s">
        <v>380</v>
      </c>
      <c r="N7" s="207"/>
    </row>
    <row r="8" spans="1:14" x14ac:dyDescent="0.25">
      <c r="A8" s="225" t="s">
        <v>632</v>
      </c>
      <c r="B8" s="206" t="s">
        <v>385</v>
      </c>
      <c r="C8" s="208">
        <v>2</v>
      </c>
      <c r="D8" s="209" t="s">
        <v>386</v>
      </c>
      <c r="E8" s="210" t="s">
        <v>638</v>
      </c>
      <c r="F8" s="210" t="s">
        <v>387</v>
      </c>
      <c r="G8" s="208"/>
      <c r="H8" s="208"/>
      <c r="I8" s="210"/>
      <c r="J8" s="210" t="s">
        <v>388</v>
      </c>
      <c r="K8" s="210"/>
      <c r="L8" s="210" t="s">
        <v>389</v>
      </c>
      <c r="M8" s="205" t="s">
        <v>384</v>
      </c>
      <c r="N8" s="207"/>
    </row>
    <row r="9" spans="1:14" x14ac:dyDescent="0.25">
      <c r="A9" s="225" t="s">
        <v>632</v>
      </c>
      <c r="B9" s="206" t="s">
        <v>391</v>
      </c>
      <c r="C9" s="208">
        <v>5</v>
      </c>
      <c r="D9" s="209" t="s">
        <v>392</v>
      </c>
      <c r="E9" s="210" t="s">
        <v>393</v>
      </c>
      <c r="F9" s="210" t="s">
        <v>638</v>
      </c>
      <c r="G9" s="208"/>
      <c r="H9" s="208"/>
      <c r="I9" s="210"/>
      <c r="J9" s="210"/>
      <c r="K9" s="210" t="s">
        <v>394</v>
      </c>
      <c r="L9" s="210"/>
      <c r="M9" s="205" t="s">
        <v>390</v>
      </c>
      <c r="N9" s="207"/>
    </row>
    <row r="10" spans="1:14" x14ac:dyDescent="0.25">
      <c r="A10" s="225" t="s">
        <v>632</v>
      </c>
      <c r="B10" s="206" t="s">
        <v>398</v>
      </c>
      <c r="C10" s="208">
        <v>4</v>
      </c>
      <c r="D10" s="209" t="s">
        <v>386</v>
      </c>
      <c r="E10" s="210" t="s">
        <v>638</v>
      </c>
      <c r="F10" s="210" t="s">
        <v>387</v>
      </c>
      <c r="G10" s="208"/>
      <c r="H10" s="208" t="s">
        <v>356</v>
      </c>
      <c r="I10" s="210"/>
      <c r="J10" s="210" t="s">
        <v>399</v>
      </c>
      <c r="K10" s="210"/>
      <c r="L10" s="210"/>
      <c r="M10" s="205" t="s">
        <v>397</v>
      </c>
      <c r="N10" s="207"/>
    </row>
    <row r="11" spans="1:14" x14ac:dyDescent="0.25">
      <c r="A11" s="224" t="s">
        <v>395</v>
      </c>
      <c r="B11" s="206" t="s">
        <v>401</v>
      </c>
      <c r="C11" s="208">
        <v>2</v>
      </c>
      <c r="D11" s="209" t="s">
        <v>402</v>
      </c>
      <c r="E11" s="210" t="s">
        <v>403</v>
      </c>
      <c r="F11" s="210" t="s">
        <v>638</v>
      </c>
      <c r="G11" s="208"/>
      <c r="H11" s="208"/>
      <c r="I11" s="210"/>
      <c r="J11" s="210"/>
      <c r="K11" s="210" t="s">
        <v>404</v>
      </c>
      <c r="L11" s="210" t="s">
        <v>405</v>
      </c>
      <c r="M11" s="205" t="s">
        <v>400</v>
      </c>
      <c r="N11" s="207"/>
    </row>
    <row r="12" spans="1:14" x14ac:dyDescent="0.25">
      <c r="A12" s="224" t="s">
        <v>633</v>
      </c>
      <c r="B12" s="206" t="s">
        <v>634</v>
      </c>
      <c r="C12" s="208">
        <v>1</v>
      </c>
      <c r="D12" s="209" t="s">
        <v>406</v>
      </c>
      <c r="E12" s="210" t="s">
        <v>638</v>
      </c>
      <c r="F12" s="210" t="s">
        <v>193</v>
      </c>
      <c r="G12" s="208" t="s">
        <v>94</v>
      </c>
      <c r="H12" s="208" t="s">
        <v>353</v>
      </c>
      <c r="I12" s="210"/>
      <c r="J12" s="210" t="s">
        <v>408</v>
      </c>
      <c r="K12" s="210"/>
      <c r="L12" s="212"/>
      <c r="M12" s="205" t="s">
        <v>407</v>
      </c>
      <c r="N12" s="207"/>
    </row>
    <row r="13" spans="1:14" x14ac:dyDescent="0.25">
      <c r="A13" s="224" t="s">
        <v>410</v>
      </c>
      <c r="B13" s="206" t="s">
        <v>635</v>
      </c>
      <c r="C13" s="208">
        <v>1</v>
      </c>
      <c r="D13" s="209" t="s">
        <v>406</v>
      </c>
      <c r="E13" s="210" t="s">
        <v>638</v>
      </c>
      <c r="F13" s="210" t="s">
        <v>193</v>
      </c>
      <c r="G13" s="208" t="s">
        <v>94</v>
      </c>
      <c r="H13" s="208" t="s">
        <v>353</v>
      </c>
      <c r="I13" s="210"/>
      <c r="J13" s="210" t="s">
        <v>408</v>
      </c>
      <c r="K13" s="210"/>
      <c r="L13" s="212"/>
      <c r="M13" s="205" t="s">
        <v>411</v>
      </c>
      <c r="N13" s="207"/>
    </row>
    <row r="14" spans="1:14" x14ac:dyDescent="0.25">
      <c r="A14" s="224" t="s">
        <v>412</v>
      </c>
      <c r="B14" s="206" t="s">
        <v>413</v>
      </c>
      <c r="C14" s="208">
        <v>0</v>
      </c>
      <c r="D14" s="209" t="s">
        <v>374</v>
      </c>
      <c r="E14" s="210" t="s">
        <v>303</v>
      </c>
      <c r="F14" s="210" t="s">
        <v>638</v>
      </c>
      <c r="G14" s="208"/>
      <c r="H14" s="208"/>
      <c r="I14" s="210"/>
      <c r="J14" s="210"/>
      <c r="K14" s="211" t="s">
        <v>414</v>
      </c>
      <c r="L14" s="212"/>
      <c r="M14" s="205" t="s">
        <v>412</v>
      </c>
      <c r="N14" s="207"/>
    </row>
    <row r="15" spans="1:14" x14ac:dyDescent="0.25">
      <c r="A15" s="224" t="s">
        <v>415</v>
      </c>
      <c r="B15" s="206" t="s">
        <v>416</v>
      </c>
      <c r="C15" s="208">
        <v>3</v>
      </c>
      <c r="D15" s="209" t="s">
        <v>374</v>
      </c>
      <c r="E15" s="210" t="s">
        <v>638</v>
      </c>
      <c r="F15" s="210" t="s">
        <v>303</v>
      </c>
      <c r="G15" s="208"/>
      <c r="H15" s="208"/>
      <c r="I15" s="210"/>
      <c r="J15" s="210" t="s">
        <v>417</v>
      </c>
      <c r="K15" s="210" t="s">
        <v>418</v>
      </c>
      <c r="L15" s="212"/>
      <c r="M15" s="205" t="s">
        <v>415</v>
      </c>
      <c r="N15" s="207"/>
    </row>
    <row r="16" spans="1:14" x14ac:dyDescent="0.25">
      <c r="A16" s="224" t="s">
        <v>415</v>
      </c>
      <c r="B16" s="206" t="s">
        <v>416</v>
      </c>
      <c r="C16" s="208">
        <v>3</v>
      </c>
      <c r="D16" s="209" t="s">
        <v>378</v>
      </c>
      <c r="E16" s="210" t="s">
        <v>403</v>
      </c>
      <c r="F16" s="210" t="s">
        <v>638</v>
      </c>
      <c r="G16" s="208"/>
      <c r="H16" s="208"/>
      <c r="I16" s="210"/>
      <c r="J16" s="210"/>
      <c r="K16" s="210" t="s">
        <v>419</v>
      </c>
      <c r="L16" s="212"/>
      <c r="M16" s="205" t="s">
        <v>415</v>
      </c>
      <c r="N16" s="207"/>
    </row>
    <row r="17" spans="1:14" x14ac:dyDescent="0.25">
      <c r="A17" s="224" t="s">
        <v>420</v>
      </c>
      <c r="B17" s="206" t="s">
        <v>421</v>
      </c>
      <c r="C17" s="208">
        <v>5</v>
      </c>
      <c r="D17" s="209" t="s">
        <v>374</v>
      </c>
      <c r="E17" s="210" t="s">
        <v>638</v>
      </c>
      <c r="F17" s="210" t="s">
        <v>303</v>
      </c>
      <c r="G17" s="208"/>
      <c r="H17" s="208"/>
      <c r="I17" s="210"/>
      <c r="J17" s="210" t="s">
        <v>417</v>
      </c>
      <c r="K17" s="210" t="s">
        <v>422</v>
      </c>
      <c r="L17" s="212"/>
      <c r="M17" s="205" t="s">
        <v>420</v>
      </c>
      <c r="N17" s="207"/>
    </row>
    <row r="18" spans="1:14" x14ac:dyDescent="0.25">
      <c r="A18" s="224" t="s">
        <v>420</v>
      </c>
      <c r="B18" s="206" t="s">
        <v>421</v>
      </c>
      <c r="C18" s="208">
        <v>5</v>
      </c>
      <c r="D18" s="209" t="s">
        <v>378</v>
      </c>
      <c r="E18" s="210" t="s">
        <v>403</v>
      </c>
      <c r="F18" s="210" t="s">
        <v>638</v>
      </c>
      <c r="G18" s="208"/>
      <c r="H18" s="208"/>
      <c r="I18" s="210"/>
      <c r="J18" s="210"/>
      <c r="K18" s="210" t="s">
        <v>419</v>
      </c>
      <c r="L18" s="212"/>
      <c r="M18" s="205" t="s">
        <v>420</v>
      </c>
      <c r="N18" s="207"/>
    </row>
    <row r="19" spans="1:14" x14ac:dyDescent="0.25">
      <c r="A19" s="224" t="s">
        <v>423</v>
      </c>
      <c r="B19" s="206" t="s">
        <v>424</v>
      </c>
      <c r="C19" s="208">
        <v>7</v>
      </c>
      <c r="D19" s="209" t="s">
        <v>378</v>
      </c>
      <c r="E19" s="210" t="s">
        <v>403</v>
      </c>
      <c r="F19" s="210" t="s">
        <v>638</v>
      </c>
      <c r="G19" s="208"/>
      <c r="H19" s="208"/>
      <c r="I19" s="210"/>
      <c r="J19" s="210"/>
      <c r="K19" s="210" t="s">
        <v>419</v>
      </c>
      <c r="L19" s="212"/>
      <c r="M19" s="205" t="s">
        <v>423</v>
      </c>
      <c r="N19" s="207"/>
    </row>
    <row r="20" spans="1:14" x14ac:dyDescent="0.25">
      <c r="A20" s="224" t="s">
        <v>425</v>
      </c>
      <c r="B20" s="206" t="s">
        <v>426</v>
      </c>
      <c r="C20" s="208">
        <v>5</v>
      </c>
      <c r="D20" s="209" t="s">
        <v>378</v>
      </c>
      <c r="E20" s="210" t="s">
        <v>403</v>
      </c>
      <c r="F20" s="210" t="s">
        <v>638</v>
      </c>
      <c r="G20" s="208"/>
      <c r="H20" s="208"/>
      <c r="I20" s="210"/>
      <c r="J20" s="210"/>
      <c r="K20" s="210" t="s">
        <v>419</v>
      </c>
      <c r="L20" s="212"/>
      <c r="M20" s="205" t="s">
        <v>425</v>
      </c>
      <c r="N20" s="207"/>
    </row>
    <row r="21" spans="1:14" x14ac:dyDescent="0.25">
      <c r="A21" s="224" t="s">
        <v>427</v>
      </c>
      <c r="B21" s="206" t="s">
        <v>428</v>
      </c>
      <c r="C21" s="208">
        <v>3</v>
      </c>
      <c r="D21" s="209" t="s">
        <v>374</v>
      </c>
      <c r="E21" s="210" t="s">
        <v>638</v>
      </c>
      <c r="F21" s="210" t="s">
        <v>303</v>
      </c>
      <c r="G21" s="208"/>
      <c r="H21" s="208"/>
      <c r="I21" s="210"/>
      <c r="J21" s="210" t="s">
        <v>417</v>
      </c>
      <c r="K21" s="210" t="s">
        <v>429</v>
      </c>
      <c r="L21" s="212"/>
      <c r="M21" s="205" t="s">
        <v>427</v>
      </c>
      <c r="N21" s="207"/>
    </row>
    <row r="22" spans="1:14" x14ac:dyDescent="0.25">
      <c r="A22" s="224" t="s">
        <v>636</v>
      </c>
      <c r="B22" s="206" t="s">
        <v>637</v>
      </c>
      <c r="C22" s="208">
        <v>5</v>
      </c>
      <c r="D22" s="209" t="s">
        <v>374</v>
      </c>
      <c r="E22" s="210" t="s">
        <v>638</v>
      </c>
      <c r="F22" s="210" t="s">
        <v>303</v>
      </c>
      <c r="G22" s="208"/>
      <c r="H22" s="208"/>
      <c r="I22" s="210"/>
      <c r="J22" s="210" t="s">
        <v>417</v>
      </c>
      <c r="K22" s="210" t="s">
        <v>422</v>
      </c>
      <c r="L22" s="212"/>
      <c r="M22" s="205" t="s">
        <v>420</v>
      </c>
      <c r="N22" s="207"/>
    </row>
    <row r="23" spans="1:14" x14ac:dyDescent="0.25">
      <c r="A23" s="224" t="s">
        <v>430</v>
      </c>
      <c r="B23" s="206" t="s">
        <v>431</v>
      </c>
      <c r="C23" s="208"/>
      <c r="D23" s="209" t="s">
        <v>374</v>
      </c>
      <c r="E23" s="210" t="s">
        <v>303</v>
      </c>
      <c r="F23" s="210" t="s">
        <v>638</v>
      </c>
      <c r="G23" s="208"/>
      <c r="H23" s="208"/>
      <c r="I23" s="210"/>
      <c r="J23" s="210"/>
      <c r="K23" s="211" t="s">
        <v>432</v>
      </c>
      <c r="L23" s="212"/>
      <c r="M23" s="205" t="s">
        <v>430</v>
      </c>
      <c r="N23" s="207"/>
    </row>
    <row r="24" spans="1:14" x14ac:dyDescent="0.25">
      <c r="A24" s="224" t="s">
        <v>433</v>
      </c>
      <c r="B24" s="206" t="s">
        <v>434</v>
      </c>
      <c r="C24" s="208">
        <v>5</v>
      </c>
      <c r="D24" s="209" t="s">
        <v>374</v>
      </c>
      <c r="E24" s="210" t="s">
        <v>638</v>
      </c>
      <c r="F24" s="210" t="s">
        <v>303</v>
      </c>
      <c r="G24" s="208"/>
      <c r="H24" s="208"/>
      <c r="I24" s="210"/>
      <c r="J24" s="210" t="s">
        <v>430</v>
      </c>
      <c r="K24" s="210"/>
      <c r="L24" s="212"/>
      <c r="M24" s="205" t="s">
        <v>433</v>
      </c>
      <c r="N24" s="207"/>
    </row>
    <row r="25" spans="1:14" x14ac:dyDescent="0.25">
      <c r="A25" s="224" t="s">
        <v>435</v>
      </c>
      <c r="B25" s="206" t="s">
        <v>436</v>
      </c>
      <c r="C25" s="208">
        <v>5</v>
      </c>
      <c r="D25" s="209" t="s">
        <v>374</v>
      </c>
      <c r="E25" s="210" t="s">
        <v>638</v>
      </c>
      <c r="F25" s="210" t="s">
        <v>303</v>
      </c>
      <c r="G25" s="208"/>
      <c r="H25" s="208"/>
      <c r="I25" s="210"/>
      <c r="J25" s="210" t="s">
        <v>430</v>
      </c>
      <c r="K25" s="210"/>
      <c r="L25" s="212"/>
      <c r="M25" s="205" t="s">
        <v>435</v>
      </c>
      <c r="N25" s="207"/>
    </row>
    <row r="26" spans="1:14" ht="15.75" customHeight="1" x14ac:dyDescent="0.25">
      <c r="A26" s="224" t="s">
        <v>437</v>
      </c>
      <c r="B26" s="206" t="s">
        <v>438</v>
      </c>
      <c r="C26" s="208">
        <v>5</v>
      </c>
      <c r="D26" s="209" t="s">
        <v>374</v>
      </c>
      <c r="E26" s="210" t="s">
        <v>638</v>
      </c>
      <c r="F26" s="210" t="s">
        <v>303</v>
      </c>
      <c r="G26" s="208"/>
      <c r="H26" s="208"/>
      <c r="I26" s="210"/>
      <c r="J26" s="210" t="s">
        <v>430</v>
      </c>
      <c r="K26" s="210"/>
      <c r="L26" s="212"/>
      <c r="M26" s="205" t="s">
        <v>437</v>
      </c>
      <c r="N26" s="207"/>
    </row>
    <row r="27" spans="1:14" x14ac:dyDescent="0.25">
      <c r="A27" s="224" t="s">
        <v>439</v>
      </c>
      <c r="B27" s="206" t="s">
        <v>440</v>
      </c>
      <c r="C27" s="208">
        <v>3</v>
      </c>
      <c r="D27" s="209" t="s">
        <v>374</v>
      </c>
      <c r="E27" s="210" t="s">
        <v>303</v>
      </c>
      <c r="F27" s="210" t="s">
        <v>638</v>
      </c>
      <c r="G27" s="208"/>
      <c r="H27" s="208"/>
      <c r="I27" s="210"/>
      <c r="J27" s="210"/>
      <c r="K27" s="210" t="s">
        <v>441</v>
      </c>
      <c r="L27" s="212"/>
      <c r="M27" s="205" t="s">
        <v>439</v>
      </c>
      <c r="N27" s="207"/>
    </row>
    <row r="28" spans="1:14" x14ac:dyDescent="0.25">
      <c r="A28" s="224" t="s">
        <v>442</v>
      </c>
      <c r="B28" s="206" t="s">
        <v>443</v>
      </c>
      <c r="C28" s="208">
        <v>3</v>
      </c>
      <c r="D28" s="209" t="s">
        <v>374</v>
      </c>
      <c r="E28" s="210" t="s">
        <v>303</v>
      </c>
      <c r="F28" s="210" t="s">
        <v>638</v>
      </c>
      <c r="G28" s="208"/>
      <c r="H28" s="208"/>
      <c r="I28" s="210"/>
      <c r="J28" s="210"/>
      <c r="K28" s="210" t="s">
        <v>444</v>
      </c>
      <c r="L28" s="212"/>
      <c r="M28" s="205" t="s">
        <v>442</v>
      </c>
      <c r="N28" s="207"/>
    </row>
    <row r="29" spans="1:14" x14ac:dyDescent="0.25">
      <c r="A29" s="228" t="s">
        <v>445</v>
      </c>
      <c r="B29" s="206" t="s">
        <v>641</v>
      </c>
      <c r="C29" s="208">
        <v>1</v>
      </c>
      <c r="D29" s="209" t="s">
        <v>448</v>
      </c>
      <c r="E29" s="210" t="s">
        <v>403</v>
      </c>
      <c r="F29" s="210" t="s">
        <v>638</v>
      </c>
      <c r="G29" s="208"/>
      <c r="H29" s="208" t="s">
        <v>353</v>
      </c>
      <c r="I29" s="210" t="s">
        <v>449</v>
      </c>
      <c r="J29" s="211"/>
      <c r="K29" s="211"/>
      <c r="L29" s="212" t="s">
        <v>642</v>
      </c>
      <c r="M29" s="205" t="s">
        <v>640</v>
      </c>
      <c r="N29" s="207"/>
    </row>
    <row r="30" spans="1:14" ht="30" x14ac:dyDescent="0.25">
      <c r="A30" s="224" t="s">
        <v>446</v>
      </c>
      <c r="B30" s="206" t="s">
        <v>447</v>
      </c>
      <c r="C30" s="208">
        <v>8</v>
      </c>
      <c r="D30" s="209" t="s">
        <v>448</v>
      </c>
      <c r="E30" s="210" t="s">
        <v>638</v>
      </c>
      <c r="F30" s="210" t="s">
        <v>193</v>
      </c>
      <c r="G30" s="208"/>
      <c r="H30" s="208" t="s">
        <v>353</v>
      </c>
      <c r="I30" s="210" t="s">
        <v>449</v>
      </c>
      <c r="J30" s="211" t="s">
        <v>450</v>
      </c>
      <c r="K30" s="211"/>
      <c r="L30" s="212"/>
      <c r="M30" s="205" t="s">
        <v>446</v>
      </c>
      <c r="N30" s="207"/>
    </row>
    <row r="31" spans="1:14" x14ac:dyDescent="0.25">
      <c r="A31" s="224" t="s">
        <v>451</v>
      </c>
      <c r="B31" s="206" t="s">
        <v>452</v>
      </c>
      <c r="C31" s="208">
        <v>1</v>
      </c>
      <c r="D31" s="209" t="s">
        <v>448</v>
      </c>
      <c r="E31" s="210" t="s">
        <v>193</v>
      </c>
      <c r="F31" s="210" t="s">
        <v>352</v>
      </c>
      <c r="G31" s="208"/>
      <c r="H31" s="208"/>
      <c r="I31" s="210"/>
      <c r="J31" s="210"/>
      <c r="K31" s="211" t="s">
        <v>453</v>
      </c>
      <c r="L31" s="213"/>
      <c r="M31" s="205" t="s">
        <v>451</v>
      </c>
      <c r="N31" s="207"/>
    </row>
    <row r="32" spans="1:14" ht="30" x14ac:dyDescent="0.25">
      <c r="A32" s="224" t="s">
        <v>454</v>
      </c>
      <c r="B32" s="206" t="s">
        <v>455</v>
      </c>
      <c r="C32" s="208">
        <v>2</v>
      </c>
      <c r="D32" s="209" t="s">
        <v>456</v>
      </c>
      <c r="E32" s="210" t="s">
        <v>193</v>
      </c>
      <c r="F32" s="210" t="s">
        <v>352</v>
      </c>
      <c r="G32" s="208"/>
      <c r="H32" s="208" t="s">
        <v>353</v>
      </c>
      <c r="I32" s="210"/>
      <c r="J32" s="211" t="s">
        <v>457</v>
      </c>
      <c r="K32" s="211" t="s">
        <v>396</v>
      </c>
      <c r="L32" s="212"/>
      <c r="M32" s="205" t="s">
        <v>454</v>
      </c>
      <c r="N32" s="207"/>
    </row>
    <row r="33" spans="1:14" x14ac:dyDescent="0.25">
      <c r="A33" s="226" t="s">
        <v>458</v>
      </c>
      <c r="B33" s="206" t="s">
        <v>643</v>
      </c>
      <c r="C33" s="208"/>
      <c r="D33" s="209" t="s">
        <v>646</v>
      </c>
      <c r="E33" s="210" t="s">
        <v>35</v>
      </c>
      <c r="F33" s="210" t="s">
        <v>638</v>
      </c>
      <c r="G33" s="208"/>
      <c r="H33" s="208"/>
      <c r="I33" s="210"/>
      <c r="J33" s="211"/>
      <c r="K33" s="211" t="s">
        <v>404</v>
      </c>
      <c r="L33" s="212"/>
      <c r="M33" s="205" t="s">
        <v>640</v>
      </c>
      <c r="N33" s="207"/>
    </row>
    <row r="34" spans="1:14" x14ac:dyDescent="0.25">
      <c r="A34" s="226" t="s">
        <v>645</v>
      </c>
      <c r="B34" s="206" t="s">
        <v>644</v>
      </c>
      <c r="C34" s="208"/>
      <c r="D34" s="209" t="s">
        <v>646</v>
      </c>
      <c r="E34" s="210" t="s">
        <v>638</v>
      </c>
      <c r="F34" s="210" t="s">
        <v>35</v>
      </c>
      <c r="G34" s="208"/>
      <c r="H34" s="208"/>
      <c r="I34" s="210"/>
      <c r="J34" s="211"/>
      <c r="K34" s="211" t="s">
        <v>404</v>
      </c>
      <c r="L34" s="212"/>
      <c r="M34" s="205" t="s">
        <v>640</v>
      </c>
      <c r="N34" s="207"/>
    </row>
    <row r="35" spans="1:14" x14ac:dyDescent="0.25">
      <c r="A35" s="224" t="s">
        <v>459</v>
      </c>
      <c r="B35" s="206" t="s">
        <v>460</v>
      </c>
      <c r="C35" s="208">
        <v>2</v>
      </c>
      <c r="D35" s="209" t="s">
        <v>448</v>
      </c>
      <c r="E35" s="210" t="s">
        <v>193</v>
      </c>
      <c r="F35" s="210" t="s">
        <v>638</v>
      </c>
      <c r="G35" s="208"/>
      <c r="H35" s="208" t="s">
        <v>353</v>
      </c>
      <c r="I35" s="210"/>
      <c r="J35" s="211"/>
      <c r="K35" s="211" t="s">
        <v>404</v>
      </c>
      <c r="L35" s="212" t="s">
        <v>461</v>
      </c>
      <c r="M35" s="205" t="s">
        <v>459</v>
      </c>
      <c r="N35" s="207"/>
    </row>
    <row r="36" spans="1:14" x14ac:dyDescent="0.25">
      <c r="A36" s="224" t="s">
        <v>462</v>
      </c>
      <c r="B36" s="206" t="s">
        <v>463</v>
      </c>
      <c r="C36" s="208">
        <v>2</v>
      </c>
      <c r="D36" s="209" t="s">
        <v>464</v>
      </c>
      <c r="E36" s="210" t="s">
        <v>638</v>
      </c>
      <c r="F36" s="210" t="s">
        <v>193</v>
      </c>
      <c r="G36" s="208"/>
      <c r="H36" s="208"/>
      <c r="I36" s="210"/>
      <c r="J36" s="211" t="s">
        <v>354</v>
      </c>
      <c r="K36" s="211"/>
      <c r="L36" s="212" t="s">
        <v>465</v>
      </c>
      <c r="M36" s="205" t="s">
        <v>462</v>
      </c>
      <c r="N36" s="207"/>
    </row>
    <row r="37" spans="1:14" x14ac:dyDescent="0.25">
      <c r="A37" s="224" t="s">
        <v>466</v>
      </c>
      <c r="B37" s="206" t="s">
        <v>467</v>
      </c>
      <c r="C37" s="208">
        <v>2</v>
      </c>
      <c r="D37" s="209" t="s">
        <v>468</v>
      </c>
      <c r="E37" s="210" t="s">
        <v>638</v>
      </c>
      <c r="F37" s="210" t="s">
        <v>193</v>
      </c>
      <c r="G37" s="208"/>
      <c r="H37" s="208" t="s">
        <v>353</v>
      </c>
      <c r="I37" s="210"/>
      <c r="J37" s="210"/>
      <c r="K37" s="210"/>
      <c r="L37" s="210" t="s">
        <v>469</v>
      </c>
      <c r="M37" s="205" t="s">
        <v>466</v>
      </c>
    </row>
    <row r="38" spans="1:14" x14ac:dyDescent="0.25">
      <c r="A38" s="224" t="s">
        <v>470</v>
      </c>
      <c r="B38" s="206" t="s">
        <v>471</v>
      </c>
      <c r="C38" s="208">
        <v>2</v>
      </c>
      <c r="D38" s="209" t="s">
        <v>472</v>
      </c>
      <c r="E38" s="210" t="s">
        <v>638</v>
      </c>
      <c r="F38" s="210" t="s">
        <v>193</v>
      </c>
      <c r="G38" s="208"/>
      <c r="H38" s="208"/>
      <c r="I38" s="211"/>
      <c r="J38" s="211"/>
      <c r="K38" s="211"/>
      <c r="L38" s="212"/>
      <c r="M38" s="205" t="s">
        <v>470</v>
      </c>
      <c r="N38" s="207"/>
    </row>
    <row r="39" spans="1:14" x14ac:dyDescent="0.25">
      <c r="A39" s="224" t="s">
        <v>473</v>
      </c>
      <c r="B39" s="206" t="s">
        <v>474</v>
      </c>
      <c r="C39" s="208">
        <v>2</v>
      </c>
      <c r="D39" s="209" t="s">
        <v>472</v>
      </c>
      <c r="E39" s="210" t="s">
        <v>193</v>
      </c>
      <c r="F39" s="210" t="s">
        <v>638</v>
      </c>
      <c r="G39" s="208"/>
      <c r="H39" s="208" t="s">
        <v>353</v>
      </c>
      <c r="I39" s="210"/>
      <c r="J39" s="211"/>
      <c r="K39" s="210" t="s">
        <v>404</v>
      </c>
      <c r="L39" s="210" t="s">
        <v>647</v>
      </c>
      <c r="M39" s="205" t="s">
        <v>473</v>
      </c>
      <c r="N39" s="207"/>
    </row>
    <row r="40" spans="1:14" x14ac:dyDescent="0.25">
      <c r="A40" s="224" t="s">
        <v>648</v>
      </c>
      <c r="B40" s="206" t="s">
        <v>475</v>
      </c>
      <c r="C40" s="208">
        <v>1</v>
      </c>
      <c r="D40" s="209" t="s">
        <v>464</v>
      </c>
      <c r="E40" s="210" t="s">
        <v>638</v>
      </c>
      <c r="F40" s="210" t="s">
        <v>193</v>
      </c>
      <c r="G40" s="208"/>
      <c r="H40" s="208"/>
      <c r="I40" s="210"/>
      <c r="J40" s="211"/>
      <c r="K40" s="210"/>
      <c r="L40" s="210" t="s">
        <v>476</v>
      </c>
      <c r="M40" s="205" t="s">
        <v>473</v>
      </c>
      <c r="N40" s="207"/>
    </row>
    <row r="41" spans="1:14" x14ac:dyDescent="0.25">
      <c r="A41" s="224" t="s">
        <v>477</v>
      </c>
      <c r="B41" s="206" t="s">
        <v>478</v>
      </c>
      <c r="C41" s="208">
        <v>1</v>
      </c>
      <c r="D41" s="209" t="s">
        <v>464</v>
      </c>
      <c r="E41" s="210" t="s">
        <v>193</v>
      </c>
      <c r="F41" s="210" t="s">
        <v>638</v>
      </c>
      <c r="G41" s="208"/>
      <c r="H41" s="208"/>
      <c r="I41" s="210"/>
      <c r="J41" s="211"/>
      <c r="K41" s="210" t="s">
        <v>404</v>
      </c>
      <c r="L41" s="210" t="s">
        <v>479</v>
      </c>
      <c r="M41" s="205" t="s">
        <v>477</v>
      </c>
      <c r="N41" s="207"/>
    </row>
    <row r="42" spans="1:14" x14ac:dyDescent="0.25">
      <c r="A42" s="224" t="s">
        <v>480</v>
      </c>
      <c r="B42" s="206" t="s">
        <v>481</v>
      </c>
      <c r="C42" s="208">
        <v>3</v>
      </c>
      <c r="D42" s="209" t="s">
        <v>464</v>
      </c>
      <c r="E42" s="210" t="s">
        <v>193</v>
      </c>
      <c r="F42" s="210" t="s">
        <v>638</v>
      </c>
      <c r="G42" s="208"/>
      <c r="H42" s="208"/>
      <c r="I42" s="210"/>
      <c r="J42" s="211"/>
      <c r="K42" s="210" t="s">
        <v>482</v>
      </c>
      <c r="L42" s="210"/>
      <c r="M42" s="205" t="s">
        <v>480</v>
      </c>
      <c r="N42" s="207"/>
    </row>
    <row r="43" spans="1:14" x14ac:dyDescent="0.25">
      <c r="A43" s="224" t="s">
        <v>483</v>
      </c>
      <c r="B43" s="206" t="s">
        <v>484</v>
      </c>
      <c r="C43" s="208">
        <v>1</v>
      </c>
      <c r="D43" s="209" t="s">
        <v>485</v>
      </c>
      <c r="E43" s="210" t="s">
        <v>35</v>
      </c>
      <c r="F43" s="210" t="s">
        <v>638</v>
      </c>
      <c r="G43" s="208"/>
      <c r="H43" s="208" t="s">
        <v>353</v>
      </c>
      <c r="I43" s="210"/>
      <c r="J43" s="211"/>
      <c r="K43" s="210" t="s">
        <v>404</v>
      </c>
      <c r="L43" s="210" t="s">
        <v>486</v>
      </c>
      <c r="M43" s="205" t="s">
        <v>483</v>
      </c>
      <c r="N43" s="207"/>
    </row>
    <row r="44" spans="1:14" x14ac:dyDescent="0.25">
      <c r="A44" s="224" t="s">
        <v>487</v>
      </c>
      <c r="B44" s="206" t="s">
        <v>488</v>
      </c>
      <c r="C44" s="208">
        <v>1</v>
      </c>
      <c r="D44" s="209" t="s">
        <v>489</v>
      </c>
      <c r="E44" s="210" t="s">
        <v>638</v>
      </c>
      <c r="F44" s="210" t="s">
        <v>35</v>
      </c>
      <c r="G44" s="208"/>
      <c r="H44" s="208" t="s">
        <v>353</v>
      </c>
      <c r="I44" s="210"/>
      <c r="J44" s="211"/>
      <c r="K44" s="210"/>
      <c r="L44" s="210" t="s">
        <v>490</v>
      </c>
      <c r="M44" s="205" t="s">
        <v>487</v>
      </c>
      <c r="N44" s="207"/>
    </row>
    <row r="45" spans="1:14" x14ac:dyDescent="0.25">
      <c r="A45" s="224" t="s">
        <v>491</v>
      </c>
      <c r="B45" s="206" t="s">
        <v>492</v>
      </c>
      <c r="C45" s="208">
        <v>2</v>
      </c>
      <c r="D45" s="209" t="s">
        <v>493</v>
      </c>
      <c r="E45" s="210" t="s">
        <v>193</v>
      </c>
      <c r="F45" s="210" t="s">
        <v>638</v>
      </c>
      <c r="G45" s="208"/>
      <c r="H45" s="208" t="s">
        <v>353</v>
      </c>
      <c r="I45" s="210"/>
      <c r="J45" s="211"/>
      <c r="K45" s="210" t="s">
        <v>404</v>
      </c>
      <c r="L45" s="210" t="s">
        <v>494</v>
      </c>
      <c r="M45" s="205" t="s">
        <v>491</v>
      </c>
      <c r="N45" s="207"/>
    </row>
    <row r="46" spans="1:14" x14ac:dyDescent="0.25">
      <c r="A46" s="224" t="s">
        <v>495</v>
      </c>
      <c r="B46" s="206" t="s">
        <v>496</v>
      </c>
      <c r="C46" s="208">
        <v>2</v>
      </c>
      <c r="D46" s="209" t="s">
        <v>472</v>
      </c>
      <c r="E46" s="210" t="s">
        <v>193</v>
      </c>
      <c r="F46" s="210" t="s">
        <v>638</v>
      </c>
      <c r="G46" s="208"/>
      <c r="H46" s="208" t="s">
        <v>353</v>
      </c>
      <c r="I46" s="210"/>
      <c r="J46" s="211"/>
      <c r="K46" s="210" t="s">
        <v>404</v>
      </c>
      <c r="L46" s="210" t="s">
        <v>497</v>
      </c>
      <c r="M46" s="205" t="s">
        <v>495</v>
      </c>
      <c r="N46" s="207"/>
    </row>
    <row r="47" spans="1:14" x14ac:dyDescent="0.25">
      <c r="A47" s="224" t="s">
        <v>498</v>
      </c>
      <c r="B47" s="206" t="s">
        <v>499</v>
      </c>
      <c r="C47" s="208">
        <v>2</v>
      </c>
      <c r="D47" s="209" t="s">
        <v>500</v>
      </c>
      <c r="E47" s="210" t="s">
        <v>638</v>
      </c>
      <c r="F47" s="210" t="s">
        <v>193</v>
      </c>
      <c r="G47" s="208"/>
      <c r="H47" s="208"/>
      <c r="I47" s="210"/>
      <c r="J47" s="211"/>
      <c r="K47" s="210" t="s">
        <v>404</v>
      </c>
      <c r="L47" s="214" t="s">
        <v>501</v>
      </c>
      <c r="M47" s="205" t="s">
        <v>498</v>
      </c>
      <c r="N47" s="207"/>
    </row>
    <row r="48" spans="1:14" x14ac:dyDescent="0.25">
      <c r="A48" s="224" t="s">
        <v>502</v>
      </c>
      <c r="B48" s="206" t="s">
        <v>503</v>
      </c>
      <c r="C48" s="208">
        <v>4</v>
      </c>
      <c r="D48" s="209" t="s">
        <v>493</v>
      </c>
      <c r="E48" s="210" t="s">
        <v>193</v>
      </c>
      <c r="F48" s="210" t="s">
        <v>638</v>
      </c>
      <c r="G48" s="208"/>
      <c r="H48" s="208" t="s">
        <v>353</v>
      </c>
      <c r="I48" s="210"/>
      <c r="J48" s="211"/>
      <c r="K48" s="210" t="s">
        <v>404</v>
      </c>
      <c r="L48" s="212"/>
      <c r="M48" s="205" t="s">
        <v>502</v>
      </c>
      <c r="N48" s="207"/>
    </row>
    <row r="49" spans="1:14" x14ac:dyDescent="0.25">
      <c r="A49" s="226" t="s">
        <v>504</v>
      </c>
      <c r="B49" s="206" t="s">
        <v>649</v>
      </c>
      <c r="C49" s="208">
        <v>4</v>
      </c>
      <c r="D49" s="209" t="s">
        <v>650</v>
      </c>
      <c r="E49" s="210" t="s">
        <v>193</v>
      </c>
      <c r="F49" s="210" t="s">
        <v>638</v>
      </c>
      <c r="G49" s="208"/>
      <c r="H49" s="208"/>
      <c r="I49" s="210"/>
      <c r="J49" s="211"/>
      <c r="K49" s="210"/>
      <c r="L49" s="212"/>
      <c r="M49" s="205" t="s">
        <v>640</v>
      </c>
      <c r="N49" s="207"/>
    </row>
    <row r="50" spans="1:14" x14ac:dyDescent="0.25">
      <c r="A50" s="224" t="s">
        <v>505</v>
      </c>
      <c r="B50" s="206" t="s">
        <v>506</v>
      </c>
      <c r="C50" s="208">
        <v>3</v>
      </c>
      <c r="D50" s="209" t="s">
        <v>507</v>
      </c>
      <c r="E50" s="210" t="s">
        <v>193</v>
      </c>
      <c r="F50" s="210" t="s">
        <v>638</v>
      </c>
      <c r="G50" s="208"/>
      <c r="H50" s="208"/>
      <c r="I50" s="210"/>
      <c r="J50" s="210"/>
      <c r="K50" s="210" t="s">
        <v>508</v>
      </c>
      <c r="L50" s="212" t="s">
        <v>509</v>
      </c>
      <c r="M50" s="205" t="s">
        <v>505</v>
      </c>
      <c r="N50" s="207"/>
    </row>
    <row r="51" spans="1:14" x14ac:dyDescent="0.25">
      <c r="A51" s="224" t="s">
        <v>510</v>
      </c>
      <c r="B51" s="206" t="s">
        <v>511</v>
      </c>
      <c r="C51" s="208">
        <v>1</v>
      </c>
      <c r="D51" s="209" t="s">
        <v>507</v>
      </c>
      <c r="E51" s="210" t="s">
        <v>193</v>
      </c>
      <c r="F51" s="210" t="s">
        <v>638</v>
      </c>
      <c r="G51" s="208"/>
      <c r="H51" s="208"/>
      <c r="I51" s="210"/>
      <c r="J51" s="210"/>
      <c r="K51" s="210" t="s">
        <v>508</v>
      </c>
      <c r="L51" s="210" t="s">
        <v>512</v>
      </c>
      <c r="M51" s="205" t="s">
        <v>510</v>
      </c>
      <c r="N51" s="207"/>
    </row>
    <row r="52" spans="1:14" x14ac:dyDescent="0.25">
      <c r="A52" s="226" t="s">
        <v>513</v>
      </c>
      <c r="B52" s="206" t="s">
        <v>651</v>
      </c>
      <c r="C52" s="208">
        <v>1</v>
      </c>
      <c r="D52" s="209" t="s">
        <v>386</v>
      </c>
      <c r="E52" s="210" t="s">
        <v>35</v>
      </c>
      <c r="F52" s="210" t="s">
        <v>638</v>
      </c>
      <c r="G52" s="208"/>
      <c r="H52" s="208"/>
      <c r="I52" s="210"/>
      <c r="J52" s="210"/>
      <c r="K52" s="210"/>
      <c r="L52" s="210" t="s">
        <v>514</v>
      </c>
      <c r="M52" s="205" t="s">
        <v>640</v>
      </c>
      <c r="N52" s="207"/>
    </row>
    <row r="53" spans="1:14" x14ac:dyDescent="0.25">
      <c r="A53" s="226" t="s">
        <v>515</v>
      </c>
      <c r="B53" s="206" t="s">
        <v>652</v>
      </c>
      <c r="C53" s="208">
        <v>2</v>
      </c>
      <c r="D53" s="209" t="s">
        <v>386</v>
      </c>
      <c r="E53" s="210" t="s">
        <v>35</v>
      </c>
      <c r="F53" s="210" t="s">
        <v>638</v>
      </c>
      <c r="G53" s="208"/>
      <c r="H53" s="208"/>
      <c r="I53" s="210"/>
      <c r="J53" s="210"/>
      <c r="K53" s="210"/>
      <c r="L53" s="210"/>
      <c r="M53" s="205" t="s">
        <v>640</v>
      </c>
      <c r="N53" s="207"/>
    </row>
    <row r="54" spans="1:14" x14ac:dyDescent="0.25">
      <c r="A54" s="224" t="s">
        <v>516</v>
      </c>
      <c r="B54" s="206" t="s">
        <v>517</v>
      </c>
      <c r="C54" s="208"/>
      <c r="D54" s="209" t="s">
        <v>464</v>
      </c>
      <c r="E54" s="210" t="s">
        <v>638</v>
      </c>
      <c r="F54" s="210" t="s">
        <v>35</v>
      </c>
      <c r="G54" s="208"/>
      <c r="H54" s="208"/>
      <c r="I54" s="210"/>
      <c r="J54" s="210"/>
      <c r="K54" s="210"/>
      <c r="L54" s="210" t="s">
        <v>518</v>
      </c>
      <c r="M54" s="205" t="s">
        <v>516</v>
      </c>
      <c r="N54" s="207"/>
    </row>
    <row r="55" spans="1:14" x14ac:dyDescent="0.25">
      <c r="A55" s="224" t="s">
        <v>653</v>
      </c>
      <c r="B55" s="206" t="s">
        <v>654</v>
      </c>
      <c r="C55" s="208">
        <v>6</v>
      </c>
      <c r="D55" s="209" t="s">
        <v>464</v>
      </c>
      <c r="E55" s="210" t="s">
        <v>193</v>
      </c>
      <c r="F55" s="210" t="s">
        <v>638</v>
      </c>
      <c r="G55" s="208"/>
      <c r="H55" s="208"/>
      <c r="I55" s="210"/>
      <c r="J55" s="210"/>
      <c r="K55" s="210"/>
      <c r="L55" s="210" t="s">
        <v>518</v>
      </c>
      <c r="M55" s="205" t="s">
        <v>516</v>
      </c>
      <c r="N55" s="207"/>
    </row>
    <row r="56" spans="1:14" x14ac:dyDescent="0.25">
      <c r="A56" s="224" t="s">
        <v>519</v>
      </c>
      <c r="B56" s="206" t="s">
        <v>520</v>
      </c>
      <c r="C56" s="208"/>
      <c r="D56" s="209" t="s">
        <v>485</v>
      </c>
      <c r="E56" s="210" t="s">
        <v>638</v>
      </c>
      <c r="F56" s="210" t="s">
        <v>35</v>
      </c>
      <c r="G56" s="208"/>
      <c r="H56" s="208"/>
      <c r="I56" s="210"/>
      <c r="J56" s="210" t="s">
        <v>521</v>
      </c>
      <c r="K56" s="210"/>
      <c r="L56" s="210"/>
      <c r="M56" s="205" t="s">
        <v>519</v>
      </c>
      <c r="N56" s="207"/>
    </row>
    <row r="57" spans="1:14" x14ac:dyDescent="0.25">
      <c r="A57" s="224" t="s">
        <v>522</v>
      </c>
      <c r="B57" s="206" t="s">
        <v>523</v>
      </c>
      <c r="C57" s="208">
        <v>1</v>
      </c>
      <c r="D57" s="209" t="s">
        <v>489</v>
      </c>
      <c r="E57" s="210" t="s">
        <v>35</v>
      </c>
      <c r="F57" s="210" t="s">
        <v>638</v>
      </c>
      <c r="G57" s="208"/>
      <c r="H57" s="208" t="s">
        <v>353</v>
      </c>
      <c r="I57" s="210"/>
      <c r="J57" s="210"/>
      <c r="K57" s="210" t="s">
        <v>404</v>
      </c>
      <c r="L57" s="210"/>
      <c r="M57" s="205" t="s">
        <v>522</v>
      </c>
      <c r="N57" s="207"/>
    </row>
    <row r="58" spans="1:14" x14ac:dyDescent="0.25">
      <c r="A58" s="227" t="s">
        <v>530</v>
      </c>
      <c r="B58" s="206" t="s">
        <v>531</v>
      </c>
      <c r="C58" s="208">
        <v>2</v>
      </c>
      <c r="D58" s="209" t="s">
        <v>374</v>
      </c>
      <c r="E58" s="210" t="s">
        <v>303</v>
      </c>
      <c r="F58" s="210" t="s">
        <v>638</v>
      </c>
      <c r="G58" s="208"/>
      <c r="H58" s="208"/>
      <c r="I58" s="210"/>
      <c r="J58" s="210"/>
      <c r="K58" s="210" t="s">
        <v>532</v>
      </c>
      <c r="L58" s="212"/>
      <c r="M58" s="205" t="s">
        <v>530</v>
      </c>
      <c r="N58" s="207"/>
    </row>
    <row r="59" spans="1:14" x14ac:dyDescent="0.25">
      <c r="A59" s="227" t="s">
        <v>533</v>
      </c>
      <c r="B59" s="206" t="s">
        <v>534</v>
      </c>
      <c r="C59" s="208">
        <v>2</v>
      </c>
      <c r="D59" s="209" t="s">
        <v>374</v>
      </c>
      <c r="E59" s="210" t="s">
        <v>638</v>
      </c>
      <c r="F59" s="210" t="s">
        <v>409</v>
      </c>
      <c r="G59" s="208"/>
      <c r="H59" s="208"/>
      <c r="I59" s="210"/>
      <c r="J59" s="210"/>
      <c r="K59" s="210"/>
      <c r="L59" s="212" t="s">
        <v>535</v>
      </c>
      <c r="M59" s="205" t="s">
        <v>533</v>
      </c>
      <c r="N59" s="207"/>
    </row>
    <row r="60" spans="1:14" x14ac:dyDescent="0.25">
      <c r="A60" s="227" t="s">
        <v>536</v>
      </c>
      <c r="B60" s="206" t="s">
        <v>537</v>
      </c>
      <c r="C60" s="208">
        <v>3</v>
      </c>
      <c r="D60" s="209" t="s">
        <v>374</v>
      </c>
      <c r="E60" s="210" t="s">
        <v>409</v>
      </c>
      <c r="F60" s="210" t="s">
        <v>638</v>
      </c>
      <c r="G60" s="208"/>
      <c r="H60" s="208"/>
      <c r="I60" s="210"/>
      <c r="J60" s="210"/>
      <c r="K60" s="210"/>
      <c r="L60" s="212" t="s">
        <v>538</v>
      </c>
      <c r="M60" s="205" t="s">
        <v>536</v>
      </c>
      <c r="N60" s="207"/>
    </row>
    <row r="61" spans="1:14" x14ac:dyDescent="0.25">
      <c r="A61" s="227" t="s">
        <v>539</v>
      </c>
      <c r="B61" s="206" t="s">
        <v>540</v>
      </c>
      <c r="C61" s="208">
        <v>1</v>
      </c>
      <c r="D61" s="209" t="s">
        <v>374</v>
      </c>
      <c r="E61" s="210" t="s">
        <v>303</v>
      </c>
      <c r="F61" s="210" t="s">
        <v>638</v>
      </c>
      <c r="G61" s="208"/>
      <c r="H61" s="208"/>
      <c r="I61" s="210"/>
      <c r="J61" s="210"/>
      <c r="K61" s="210" t="s">
        <v>541</v>
      </c>
      <c r="L61" s="212"/>
      <c r="M61" s="205" t="s">
        <v>539</v>
      </c>
      <c r="N61" s="207"/>
    </row>
    <row r="62" spans="1:14" x14ac:dyDescent="0.25">
      <c r="A62" s="227" t="s">
        <v>542</v>
      </c>
      <c r="B62" s="206" t="s">
        <v>543</v>
      </c>
      <c r="C62" s="208">
        <v>1</v>
      </c>
      <c r="D62" s="209" t="s">
        <v>374</v>
      </c>
      <c r="E62" s="210" t="s">
        <v>303</v>
      </c>
      <c r="F62" s="210" t="s">
        <v>638</v>
      </c>
      <c r="G62" s="208"/>
      <c r="H62" s="208"/>
      <c r="I62" s="210"/>
      <c r="J62" s="210"/>
      <c r="K62" s="210" t="s">
        <v>544</v>
      </c>
      <c r="L62" s="212"/>
      <c r="M62" s="205" t="s">
        <v>542</v>
      </c>
      <c r="N62" s="207"/>
    </row>
    <row r="63" spans="1:14" x14ac:dyDescent="0.25">
      <c r="A63" s="227" t="s">
        <v>545</v>
      </c>
      <c r="B63" s="206" t="s">
        <v>546</v>
      </c>
      <c r="C63" s="208">
        <v>0</v>
      </c>
      <c r="D63" s="209" t="s">
        <v>374</v>
      </c>
      <c r="E63" s="210" t="s">
        <v>303</v>
      </c>
      <c r="F63" s="210" t="s">
        <v>352</v>
      </c>
      <c r="G63" s="208"/>
      <c r="H63" s="208"/>
      <c r="I63" s="210"/>
      <c r="J63" s="210"/>
      <c r="K63" s="210" t="s">
        <v>547</v>
      </c>
      <c r="L63" s="212"/>
      <c r="M63" s="205" t="s">
        <v>545</v>
      </c>
      <c r="N63" s="207"/>
    </row>
    <row r="64" spans="1:14" x14ac:dyDescent="0.25">
      <c r="A64" s="227" t="s">
        <v>548</v>
      </c>
      <c r="B64" s="206" t="s">
        <v>549</v>
      </c>
      <c r="C64" s="208">
        <v>1</v>
      </c>
      <c r="D64" s="209" t="s">
        <v>374</v>
      </c>
      <c r="E64" s="210" t="s">
        <v>303</v>
      </c>
      <c r="F64" s="210" t="s">
        <v>638</v>
      </c>
      <c r="G64" s="208"/>
      <c r="H64" s="208"/>
      <c r="I64" s="210"/>
      <c r="J64" s="210"/>
      <c r="K64" s="210" t="s">
        <v>550</v>
      </c>
      <c r="L64" s="212"/>
      <c r="M64" s="205" t="s">
        <v>548</v>
      </c>
      <c r="N64" s="215"/>
    </row>
    <row r="65" spans="1:14" x14ac:dyDescent="0.25">
      <c r="A65" s="227" t="s">
        <v>551</v>
      </c>
      <c r="B65" s="206" t="s">
        <v>552</v>
      </c>
      <c r="C65" s="208">
        <v>1</v>
      </c>
      <c r="D65" s="209" t="s">
        <v>374</v>
      </c>
      <c r="E65" s="210" t="s">
        <v>303</v>
      </c>
      <c r="F65" s="210" t="s">
        <v>638</v>
      </c>
      <c r="G65" s="208"/>
      <c r="H65" s="208"/>
      <c r="I65" s="210"/>
      <c r="J65" s="210" t="s">
        <v>548</v>
      </c>
      <c r="K65" s="210" t="s">
        <v>553</v>
      </c>
      <c r="L65" s="212"/>
      <c r="M65" s="205" t="s">
        <v>551</v>
      </c>
      <c r="N65" s="215"/>
    </row>
    <row r="66" spans="1:14" x14ac:dyDescent="0.25">
      <c r="A66" s="227" t="s">
        <v>554</v>
      </c>
      <c r="B66" s="206" t="s">
        <v>555</v>
      </c>
      <c r="C66" s="208">
        <v>1</v>
      </c>
      <c r="D66" s="209" t="s">
        <v>374</v>
      </c>
      <c r="E66" s="210" t="s">
        <v>303</v>
      </c>
      <c r="F66" s="210" t="s">
        <v>638</v>
      </c>
      <c r="G66" s="208"/>
      <c r="H66" s="208"/>
      <c r="I66" s="210"/>
      <c r="J66" s="210"/>
      <c r="K66" s="210" t="s">
        <v>556</v>
      </c>
      <c r="L66" s="212"/>
      <c r="M66" s="205" t="s">
        <v>554</v>
      </c>
    </row>
    <row r="67" spans="1:14" x14ac:dyDescent="0.25">
      <c r="A67" s="227" t="s">
        <v>380</v>
      </c>
      <c r="B67" s="206" t="s">
        <v>381</v>
      </c>
      <c r="C67" s="208">
        <v>7</v>
      </c>
      <c r="D67" s="209" t="s">
        <v>374</v>
      </c>
      <c r="E67" s="210" t="s">
        <v>638</v>
      </c>
      <c r="F67" s="210" t="s">
        <v>303</v>
      </c>
      <c r="G67" s="208"/>
      <c r="H67" s="208"/>
      <c r="I67" s="210"/>
      <c r="J67" s="210" t="s">
        <v>554</v>
      </c>
      <c r="K67" s="210" t="s">
        <v>557</v>
      </c>
      <c r="L67" s="212"/>
      <c r="M67" s="205" t="s">
        <v>380</v>
      </c>
      <c r="N67" s="207"/>
    </row>
    <row r="68" spans="1:14" x14ac:dyDescent="0.25">
      <c r="A68" s="227" t="s">
        <v>558</v>
      </c>
      <c r="B68" s="206" t="s">
        <v>559</v>
      </c>
      <c r="C68" s="208">
        <v>5</v>
      </c>
      <c r="D68" s="209" t="s">
        <v>378</v>
      </c>
      <c r="E68" s="210" t="s">
        <v>638</v>
      </c>
      <c r="F68" s="210" t="s">
        <v>193</v>
      </c>
      <c r="G68" s="208"/>
      <c r="H68" s="208"/>
      <c r="I68" s="210"/>
      <c r="J68" s="210"/>
      <c r="K68" s="210" t="s">
        <v>560</v>
      </c>
      <c r="L68" s="212"/>
      <c r="M68" s="205" t="s">
        <v>558</v>
      </c>
      <c r="N68" s="207"/>
    </row>
    <row r="69" spans="1:14" x14ac:dyDescent="0.25">
      <c r="A69" s="227" t="s">
        <v>561</v>
      </c>
      <c r="B69" s="206" t="s">
        <v>562</v>
      </c>
      <c r="C69" s="208">
        <v>2</v>
      </c>
      <c r="D69" s="209" t="s">
        <v>378</v>
      </c>
      <c r="E69" s="210" t="s">
        <v>638</v>
      </c>
      <c r="F69" s="210" t="s">
        <v>403</v>
      </c>
      <c r="G69" s="208"/>
      <c r="H69" s="208"/>
      <c r="I69" s="210"/>
      <c r="J69" s="210"/>
      <c r="K69" s="210" t="s">
        <v>563</v>
      </c>
      <c r="L69" s="212"/>
      <c r="M69" s="205" t="s">
        <v>561</v>
      </c>
      <c r="N69" s="207"/>
    </row>
    <row r="70" spans="1:14" x14ac:dyDescent="0.25">
      <c r="A70" s="227" t="s">
        <v>564</v>
      </c>
      <c r="B70" s="206" t="s">
        <v>534</v>
      </c>
      <c r="C70" s="208">
        <v>2</v>
      </c>
      <c r="D70" s="209" t="s">
        <v>378</v>
      </c>
      <c r="E70" s="210" t="s">
        <v>638</v>
      </c>
      <c r="F70" s="210" t="s">
        <v>409</v>
      </c>
      <c r="G70" s="208"/>
      <c r="H70" s="208"/>
      <c r="I70" s="210"/>
      <c r="J70" s="210"/>
      <c r="K70" s="210"/>
      <c r="L70" s="212" t="s">
        <v>535</v>
      </c>
      <c r="M70" s="205" t="s">
        <v>564</v>
      </c>
      <c r="N70" s="207"/>
    </row>
    <row r="71" spans="1:14" x14ac:dyDescent="0.25">
      <c r="A71" s="227" t="s">
        <v>565</v>
      </c>
      <c r="B71" s="206" t="s">
        <v>537</v>
      </c>
      <c r="C71" s="208">
        <v>3</v>
      </c>
      <c r="D71" s="209" t="s">
        <v>378</v>
      </c>
      <c r="E71" s="210" t="s">
        <v>409</v>
      </c>
      <c r="F71" s="210" t="s">
        <v>638</v>
      </c>
      <c r="G71" s="208"/>
      <c r="H71" s="208"/>
      <c r="I71" s="210"/>
      <c r="J71" s="210"/>
      <c r="K71" s="210"/>
      <c r="L71" s="212" t="s">
        <v>538</v>
      </c>
      <c r="M71" s="205" t="s">
        <v>565</v>
      </c>
      <c r="N71" s="207"/>
    </row>
    <row r="72" spans="1:14" x14ac:dyDescent="0.25">
      <c r="A72" s="227" t="s">
        <v>566</v>
      </c>
      <c r="B72" s="206" t="s">
        <v>567</v>
      </c>
      <c r="C72" s="208">
        <v>7</v>
      </c>
      <c r="D72" s="209" t="s">
        <v>378</v>
      </c>
      <c r="E72" s="210" t="s">
        <v>193</v>
      </c>
      <c r="F72" s="210" t="s">
        <v>638</v>
      </c>
      <c r="G72" s="208"/>
      <c r="H72" s="208"/>
      <c r="I72" s="210"/>
      <c r="J72" s="210" t="s">
        <v>568</v>
      </c>
      <c r="K72" s="210"/>
      <c r="L72" s="210" t="s">
        <v>569</v>
      </c>
      <c r="M72" s="205" t="s">
        <v>566</v>
      </c>
      <c r="N72" s="207"/>
    </row>
    <row r="73" spans="1:14" x14ac:dyDescent="0.25">
      <c r="A73" s="227" t="s">
        <v>570</v>
      </c>
      <c r="B73" s="206" t="s">
        <v>571</v>
      </c>
      <c r="C73" s="208">
        <v>2</v>
      </c>
      <c r="D73" s="209" t="s">
        <v>378</v>
      </c>
      <c r="E73" s="210" t="s">
        <v>193</v>
      </c>
      <c r="F73" s="210" t="s">
        <v>638</v>
      </c>
      <c r="G73" s="208"/>
      <c r="H73" s="208"/>
      <c r="I73" s="210"/>
      <c r="J73" s="210"/>
      <c r="K73" s="210"/>
      <c r="L73" s="212"/>
      <c r="M73" s="205" t="s">
        <v>570</v>
      </c>
      <c r="N73" s="207"/>
    </row>
    <row r="74" spans="1:14" x14ac:dyDescent="0.25">
      <c r="A74" s="227" t="s">
        <v>568</v>
      </c>
      <c r="B74" s="206" t="s">
        <v>572</v>
      </c>
      <c r="C74" s="208">
        <v>1</v>
      </c>
      <c r="D74" s="209" t="s">
        <v>378</v>
      </c>
      <c r="E74" s="210" t="s">
        <v>638</v>
      </c>
      <c r="F74" s="210" t="s">
        <v>193</v>
      </c>
      <c r="G74" s="208"/>
      <c r="H74" s="208"/>
      <c r="I74" s="210"/>
      <c r="J74" s="210"/>
      <c r="K74" s="210" t="s">
        <v>573</v>
      </c>
      <c r="L74" s="212" t="s">
        <v>574</v>
      </c>
      <c r="M74" s="205" t="s">
        <v>568</v>
      </c>
      <c r="N74" s="207"/>
    </row>
    <row r="75" spans="1:14" x14ac:dyDescent="0.25">
      <c r="A75" s="227" t="s">
        <v>575</v>
      </c>
      <c r="B75" s="206" t="s">
        <v>576</v>
      </c>
      <c r="C75" s="208">
        <v>1</v>
      </c>
      <c r="D75" s="209" t="s">
        <v>378</v>
      </c>
      <c r="E75" s="210" t="s">
        <v>638</v>
      </c>
      <c r="F75" s="210" t="s">
        <v>35</v>
      </c>
      <c r="G75" s="208"/>
      <c r="H75" s="208"/>
      <c r="I75" s="210"/>
      <c r="J75" s="210"/>
      <c r="K75" s="210"/>
      <c r="L75" s="212"/>
      <c r="M75" s="205" t="s">
        <v>575</v>
      </c>
      <c r="N75" s="207"/>
    </row>
    <row r="76" spans="1:14" x14ac:dyDescent="0.25">
      <c r="A76" s="227" t="s">
        <v>577</v>
      </c>
      <c r="B76" s="206" t="s">
        <v>578</v>
      </c>
      <c r="C76" s="208">
        <v>6</v>
      </c>
      <c r="D76" s="209" t="s">
        <v>378</v>
      </c>
      <c r="E76" s="210" t="s">
        <v>35</v>
      </c>
      <c r="F76" s="210" t="s">
        <v>638</v>
      </c>
      <c r="G76" s="208"/>
      <c r="H76" s="208"/>
      <c r="I76" s="210"/>
      <c r="J76" s="210"/>
      <c r="K76" s="210"/>
      <c r="L76" s="212"/>
      <c r="M76" s="205" t="s">
        <v>577</v>
      </c>
      <c r="N76" s="207"/>
    </row>
    <row r="77" spans="1:14" x14ac:dyDescent="0.25">
      <c r="A77" s="227" t="s">
        <v>579</v>
      </c>
      <c r="B77" s="206" t="s">
        <v>580</v>
      </c>
      <c r="C77" s="208">
        <v>1</v>
      </c>
      <c r="D77" s="209" t="s">
        <v>378</v>
      </c>
      <c r="E77" s="210" t="s">
        <v>638</v>
      </c>
      <c r="F77" s="210" t="s">
        <v>193</v>
      </c>
      <c r="G77" s="208"/>
      <c r="H77" s="208"/>
      <c r="I77" s="210"/>
      <c r="J77" s="210"/>
      <c r="K77" s="210" t="s">
        <v>581</v>
      </c>
      <c r="L77" s="212" t="s">
        <v>582</v>
      </c>
      <c r="M77" s="205" t="s">
        <v>579</v>
      </c>
      <c r="N77" s="207"/>
    </row>
    <row r="78" spans="1:14" x14ac:dyDescent="0.25">
      <c r="A78" s="227" t="s">
        <v>583</v>
      </c>
      <c r="B78" s="206" t="s">
        <v>584</v>
      </c>
      <c r="C78" s="208">
        <v>26</v>
      </c>
      <c r="D78" s="209" t="s">
        <v>378</v>
      </c>
      <c r="E78" s="210" t="s">
        <v>193</v>
      </c>
      <c r="F78" s="210" t="s">
        <v>638</v>
      </c>
      <c r="G78" s="208"/>
      <c r="H78" s="208"/>
      <c r="I78" s="210"/>
      <c r="J78" s="210" t="s">
        <v>579</v>
      </c>
      <c r="K78" s="210"/>
      <c r="L78" s="216" t="s">
        <v>585</v>
      </c>
      <c r="M78" s="205" t="s">
        <v>583</v>
      </c>
      <c r="N78" s="207"/>
    </row>
    <row r="79" spans="1:14" x14ac:dyDescent="0.25">
      <c r="A79" s="227" t="s">
        <v>586</v>
      </c>
      <c r="B79" s="206" t="s">
        <v>587</v>
      </c>
      <c r="C79" s="208">
        <v>2</v>
      </c>
      <c r="D79" s="209" t="s">
        <v>378</v>
      </c>
      <c r="E79" s="210" t="s">
        <v>193</v>
      </c>
      <c r="F79" s="210" t="s">
        <v>638</v>
      </c>
      <c r="G79" s="208"/>
      <c r="H79" s="208"/>
      <c r="I79" s="210"/>
      <c r="J79" s="210"/>
      <c r="K79" s="210"/>
      <c r="L79" s="212" t="s">
        <v>588</v>
      </c>
      <c r="M79" s="205" t="s">
        <v>586</v>
      </c>
      <c r="N79" s="207"/>
    </row>
    <row r="80" spans="1:14" x14ac:dyDescent="0.25">
      <c r="A80" s="227" t="s">
        <v>589</v>
      </c>
      <c r="B80" s="206" t="s">
        <v>590</v>
      </c>
      <c r="C80" s="208">
        <v>0</v>
      </c>
      <c r="D80" s="209" t="s">
        <v>378</v>
      </c>
      <c r="E80" s="210" t="s">
        <v>638</v>
      </c>
      <c r="F80" s="210" t="s">
        <v>352</v>
      </c>
      <c r="G80" s="208"/>
      <c r="H80" s="208"/>
      <c r="I80" s="210"/>
      <c r="J80" s="210"/>
      <c r="K80" s="210"/>
      <c r="L80" s="210" t="s">
        <v>547</v>
      </c>
      <c r="M80" s="205" t="s">
        <v>589</v>
      </c>
    </row>
    <row r="81" spans="1:14" x14ac:dyDescent="0.25">
      <c r="A81" s="227" t="s">
        <v>591</v>
      </c>
      <c r="B81" s="206" t="s">
        <v>592</v>
      </c>
      <c r="C81" s="208">
        <v>2</v>
      </c>
      <c r="D81" s="209" t="s">
        <v>378</v>
      </c>
      <c r="E81" s="210" t="s">
        <v>638</v>
      </c>
      <c r="F81" s="210" t="s">
        <v>352</v>
      </c>
      <c r="G81" s="208"/>
      <c r="H81" s="208"/>
      <c r="I81" s="210"/>
      <c r="J81" s="210"/>
      <c r="K81" s="210"/>
      <c r="L81" s="212"/>
      <c r="M81" s="205" t="s">
        <v>591</v>
      </c>
    </row>
    <row r="82" spans="1:14" x14ac:dyDescent="0.25">
      <c r="A82" s="227" t="s">
        <v>593</v>
      </c>
      <c r="B82" s="206" t="s">
        <v>594</v>
      </c>
      <c r="C82" s="208">
        <v>2</v>
      </c>
      <c r="D82" s="209" t="s">
        <v>378</v>
      </c>
      <c r="E82" s="210" t="s">
        <v>193</v>
      </c>
      <c r="F82" s="210" t="s">
        <v>638</v>
      </c>
      <c r="G82" s="208"/>
      <c r="H82" s="208"/>
      <c r="I82" s="210"/>
      <c r="J82" s="210"/>
      <c r="K82" s="210"/>
      <c r="L82" s="212" t="s">
        <v>595</v>
      </c>
      <c r="M82" s="205" t="s">
        <v>593</v>
      </c>
    </row>
    <row r="83" spans="1:14" x14ac:dyDescent="0.25">
      <c r="A83" s="227" t="s">
        <v>596</v>
      </c>
      <c r="B83" s="206" t="s">
        <v>597</v>
      </c>
      <c r="C83" s="208">
        <v>2</v>
      </c>
      <c r="D83" s="209" t="s">
        <v>378</v>
      </c>
      <c r="E83" s="210" t="s">
        <v>193</v>
      </c>
      <c r="F83" s="210" t="s">
        <v>638</v>
      </c>
      <c r="G83" s="208"/>
      <c r="H83" s="208"/>
      <c r="I83" s="210"/>
      <c r="J83" s="210"/>
      <c r="K83" s="210"/>
      <c r="L83" s="212"/>
      <c r="M83" s="205" t="s">
        <v>596</v>
      </c>
    </row>
    <row r="84" spans="1:14" x14ac:dyDescent="0.25">
      <c r="A84" s="227" t="s">
        <v>598</v>
      </c>
      <c r="B84" s="206" t="s">
        <v>599</v>
      </c>
      <c r="C84" s="208"/>
      <c r="D84" s="209" t="s">
        <v>378</v>
      </c>
      <c r="E84" s="210" t="s">
        <v>638</v>
      </c>
      <c r="F84" s="210" t="s">
        <v>35</v>
      </c>
      <c r="G84" s="208"/>
      <c r="H84" s="208"/>
      <c r="I84" s="210"/>
      <c r="J84" s="210"/>
      <c r="K84" s="210"/>
      <c r="L84" s="212"/>
      <c r="M84" s="205" t="s">
        <v>598</v>
      </c>
    </row>
    <row r="85" spans="1:14" x14ac:dyDescent="0.25">
      <c r="A85" s="227" t="s">
        <v>600</v>
      </c>
      <c r="B85" s="206" t="s">
        <v>601</v>
      </c>
      <c r="C85" s="208">
        <v>1</v>
      </c>
      <c r="D85" s="209" t="s">
        <v>378</v>
      </c>
      <c r="E85" s="210" t="s">
        <v>35</v>
      </c>
      <c r="F85" s="210" t="s">
        <v>638</v>
      </c>
      <c r="G85" s="208"/>
      <c r="H85" s="208"/>
      <c r="I85" s="210"/>
      <c r="J85" s="210"/>
      <c r="K85" s="210"/>
      <c r="L85" s="212"/>
      <c r="M85" s="205" t="s">
        <v>600</v>
      </c>
    </row>
    <row r="86" spans="1:14" x14ac:dyDescent="0.25">
      <c r="A86" s="227" t="s">
        <v>602</v>
      </c>
      <c r="B86" s="206" t="s">
        <v>603</v>
      </c>
      <c r="C86" s="208"/>
      <c r="D86" s="209" t="s">
        <v>378</v>
      </c>
      <c r="E86" s="210" t="s">
        <v>638</v>
      </c>
      <c r="F86" s="210" t="s">
        <v>35</v>
      </c>
      <c r="G86" s="208"/>
      <c r="H86" s="208"/>
      <c r="I86" s="210"/>
      <c r="J86" s="210"/>
      <c r="K86" s="210"/>
      <c r="L86" s="212"/>
      <c r="M86" s="205" t="s">
        <v>602</v>
      </c>
    </row>
    <row r="87" spans="1:14" x14ac:dyDescent="0.25">
      <c r="A87" s="227" t="s">
        <v>604</v>
      </c>
      <c r="B87" s="206" t="s">
        <v>605</v>
      </c>
      <c r="C87" s="208">
        <v>4</v>
      </c>
      <c r="D87" s="209" t="s">
        <v>378</v>
      </c>
      <c r="E87" s="210" t="s">
        <v>193</v>
      </c>
      <c r="F87" s="210" t="s">
        <v>638</v>
      </c>
      <c r="G87" s="208"/>
      <c r="H87" s="208"/>
      <c r="I87" s="210"/>
      <c r="J87" s="211"/>
      <c r="K87" s="210"/>
      <c r="L87" s="212"/>
      <c r="M87" s="205" t="s">
        <v>604</v>
      </c>
    </row>
    <row r="88" spans="1:14" x14ac:dyDescent="0.25">
      <c r="A88" s="227" t="s">
        <v>606</v>
      </c>
      <c r="B88" s="206" t="s">
        <v>607</v>
      </c>
      <c r="C88" s="208"/>
      <c r="D88" s="209" t="s">
        <v>378</v>
      </c>
      <c r="E88" s="210" t="s">
        <v>638</v>
      </c>
      <c r="F88" s="210" t="s">
        <v>35</v>
      </c>
      <c r="G88" s="208"/>
      <c r="H88" s="208"/>
      <c r="I88" s="210"/>
      <c r="J88" s="211"/>
      <c r="K88" s="210"/>
      <c r="L88" s="212"/>
      <c r="M88" s="205" t="s">
        <v>606</v>
      </c>
    </row>
    <row r="89" spans="1:14" x14ac:dyDescent="0.25">
      <c r="A89" s="227" t="s">
        <v>608</v>
      </c>
      <c r="B89" s="206" t="s">
        <v>609</v>
      </c>
      <c r="C89" s="208">
        <v>25</v>
      </c>
      <c r="D89" s="209" t="s">
        <v>378</v>
      </c>
      <c r="E89" s="210" t="s">
        <v>35</v>
      </c>
      <c r="F89" s="210" t="s">
        <v>638</v>
      </c>
      <c r="G89" s="208"/>
      <c r="H89" s="208"/>
      <c r="I89" s="210"/>
      <c r="J89" s="211"/>
      <c r="K89" s="210"/>
      <c r="L89" s="212"/>
      <c r="M89" s="205" t="s">
        <v>608</v>
      </c>
    </row>
    <row r="90" spans="1:14" x14ac:dyDescent="0.25">
      <c r="A90" s="227" t="s">
        <v>610</v>
      </c>
      <c r="B90" s="206" t="s">
        <v>611</v>
      </c>
      <c r="C90" s="208">
        <v>1</v>
      </c>
      <c r="D90" s="209" t="s">
        <v>489</v>
      </c>
      <c r="E90" s="210" t="s">
        <v>35</v>
      </c>
      <c r="F90" s="210" t="s">
        <v>638</v>
      </c>
      <c r="G90" s="208"/>
      <c r="H90" s="208"/>
      <c r="I90" s="210"/>
      <c r="J90" s="210"/>
      <c r="K90" s="210"/>
      <c r="L90" s="210"/>
      <c r="M90" s="205" t="s">
        <v>610</v>
      </c>
      <c r="N90" s="207"/>
    </row>
    <row r="91" spans="1:14" x14ac:dyDescent="0.25">
      <c r="A91" s="227" t="s">
        <v>612</v>
      </c>
      <c r="B91" s="206" t="s">
        <v>613</v>
      </c>
      <c r="C91" s="208">
        <v>1</v>
      </c>
      <c r="D91" s="209" t="s">
        <v>378</v>
      </c>
      <c r="E91" s="210" t="s">
        <v>35</v>
      </c>
      <c r="F91" s="210" t="s">
        <v>638</v>
      </c>
      <c r="G91" s="208"/>
      <c r="H91" s="208"/>
      <c r="I91" s="210"/>
      <c r="J91" s="210"/>
      <c r="K91" s="210"/>
      <c r="L91" s="210"/>
      <c r="M91" s="205" t="s">
        <v>612</v>
      </c>
      <c r="N91" s="207"/>
    </row>
    <row r="92" spans="1:14" x14ac:dyDescent="0.25">
      <c r="A92" s="227" t="s">
        <v>614</v>
      </c>
      <c r="B92" s="206" t="s">
        <v>615</v>
      </c>
      <c r="C92" s="208">
        <v>1</v>
      </c>
      <c r="D92" s="209" t="s">
        <v>382</v>
      </c>
      <c r="E92" s="210" t="s">
        <v>638</v>
      </c>
      <c r="F92" s="210" t="s">
        <v>524</v>
      </c>
      <c r="G92" s="208"/>
      <c r="H92" s="208"/>
      <c r="I92" s="210"/>
      <c r="J92" s="210" t="s">
        <v>525</v>
      </c>
      <c r="K92" s="210" t="s">
        <v>526</v>
      </c>
      <c r="L92" s="210"/>
      <c r="M92" s="205" t="s">
        <v>614</v>
      </c>
      <c r="N92" s="207"/>
    </row>
    <row r="93" spans="1:14" x14ac:dyDescent="0.25">
      <c r="A93" s="227" t="s">
        <v>616</v>
      </c>
      <c r="B93" s="206" t="s">
        <v>527</v>
      </c>
      <c r="C93" s="208">
        <v>0</v>
      </c>
      <c r="D93" s="209" t="s">
        <v>378</v>
      </c>
      <c r="E93" s="210" t="s">
        <v>193</v>
      </c>
      <c r="F93" s="210" t="s">
        <v>638</v>
      </c>
      <c r="G93" s="208"/>
      <c r="H93" s="208"/>
      <c r="I93" s="210"/>
      <c r="J93" s="210" t="s">
        <v>617</v>
      </c>
      <c r="K93" s="210" t="s">
        <v>528</v>
      </c>
      <c r="L93" s="212"/>
      <c r="M93" s="205" t="s">
        <v>616</v>
      </c>
    </row>
    <row r="94" spans="1:14" x14ac:dyDescent="0.25">
      <c r="A94" s="227" t="s">
        <v>618</v>
      </c>
      <c r="B94" s="206" t="s">
        <v>529</v>
      </c>
      <c r="C94" s="208">
        <v>0</v>
      </c>
      <c r="D94" s="209" t="s">
        <v>378</v>
      </c>
      <c r="E94" s="210" t="s">
        <v>193</v>
      </c>
      <c r="F94" s="210" t="s">
        <v>639</v>
      </c>
      <c r="G94" s="208"/>
      <c r="H94" s="208"/>
      <c r="I94" s="210"/>
      <c r="J94" s="210" t="s">
        <v>619</v>
      </c>
      <c r="K94" s="210" t="s">
        <v>528</v>
      </c>
      <c r="L94" s="212"/>
      <c r="M94" s="205" t="s">
        <v>618</v>
      </c>
    </row>
    <row r="95" spans="1:14" x14ac:dyDescent="0.25">
      <c r="A95" s="227" t="s">
        <v>620</v>
      </c>
      <c r="B95" s="206" t="s">
        <v>621</v>
      </c>
      <c r="C95" s="208">
        <v>3</v>
      </c>
      <c r="D95" s="209" t="s">
        <v>378</v>
      </c>
      <c r="E95" s="210" t="s">
        <v>638</v>
      </c>
      <c r="F95" s="210" t="s">
        <v>35</v>
      </c>
      <c r="G95" s="208"/>
      <c r="H95" s="208"/>
      <c r="I95" s="210"/>
      <c r="J95" s="210"/>
      <c r="K95" s="210"/>
      <c r="L95" s="212"/>
      <c r="M95" s="205" t="s">
        <v>620</v>
      </c>
    </row>
    <row r="96" spans="1:14" x14ac:dyDescent="0.25">
      <c r="A96" s="227" t="s">
        <v>622</v>
      </c>
      <c r="B96" s="206" t="s">
        <v>623</v>
      </c>
      <c r="C96" s="208">
        <v>1</v>
      </c>
      <c r="D96" s="209" t="s">
        <v>378</v>
      </c>
      <c r="E96" s="210" t="s">
        <v>638</v>
      </c>
      <c r="F96" s="210" t="s">
        <v>193</v>
      </c>
      <c r="G96" s="208"/>
      <c r="H96" s="208"/>
      <c r="I96" s="210"/>
      <c r="J96" s="210"/>
      <c r="K96" s="210"/>
      <c r="L96" s="212"/>
      <c r="M96" s="205" t="s">
        <v>622</v>
      </c>
    </row>
    <row r="97" spans="1:13" x14ac:dyDescent="0.25">
      <c r="A97" s="227" t="s">
        <v>624</v>
      </c>
      <c r="B97" s="206" t="s">
        <v>625</v>
      </c>
      <c r="C97" s="208">
        <v>2</v>
      </c>
      <c r="D97" s="209" t="s">
        <v>378</v>
      </c>
      <c r="E97" s="210" t="s">
        <v>193</v>
      </c>
      <c r="F97" s="210" t="s">
        <v>638</v>
      </c>
      <c r="G97" s="208"/>
      <c r="H97" s="208"/>
      <c r="I97" s="210"/>
      <c r="J97" s="210"/>
      <c r="K97" s="210"/>
      <c r="L97" s="212"/>
      <c r="M97" s="205" t="s">
        <v>624</v>
      </c>
    </row>
    <row r="98" spans="1:13" x14ac:dyDescent="0.25">
      <c r="A98" s="227" t="s">
        <v>626</v>
      </c>
      <c r="B98" s="206" t="s">
        <v>627</v>
      </c>
      <c r="C98" s="208"/>
      <c r="D98" s="209" t="s">
        <v>378</v>
      </c>
      <c r="E98" s="210" t="s">
        <v>303</v>
      </c>
      <c r="F98" s="210" t="s">
        <v>638</v>
      </c>
      <c r="G98" s="208"/>
      <c r="H98" s="208"/>
      <c r="I98" s="210"/>
      <c r="J98" s="210"/>
      <c r="K98" s="210"/>
      <c r="L98" s="212"/>
      <c r="M98" s="205" t="s">
        <v>626</v>
      </c>
    </row>
    <row r="99" spans="1:13" x14ac:dyDescent="0.25">
      <c r="A99" s="227" t="s">
        <v>628</v>
      </c>
      <c r="B99" s="206" t="s">
        <v>629</v>
      </c>
      <c r="C99" s="208">
        <v>1</v>
      </c>
      <c r="D99" s="209" t="s">
        <v>378</v>
      </c>
      <c r="E99" s="210" t="s">
        <v>638</v>
      </c>
      <c r="F99" s="210" t="s">
        <v>193</v>
      </c>
      <c r="G99" s="208"/>
      <c r="H99" s="208"/>
      <c r="I99" s="210"/>
      <c r="J99" s="210"/>
      <c r="K99" s="210"/>
      <c r="L99" s="212"/>
      <c r="M99" s="205" t="s">
        <v>628</v>
      </c>
    </row>
    <row r="100" spans="1:13" x14ac:dyDescent="0.25">
      <c r="A100" s="217"/>
      <c r="B100" s="217"/>
      <c r="C100" s="208"/>
      <c r="D100" s="209"/>
      <c r="E100" s="210"/>
      <c r="F100" s="210"/>
      <c r="G100" s="208"/>
      <c r="H100" s="208"/>
      <c r="I100" s="210"/>
      <c r="J100" s="210"/>
      <c r="K100" s="210"/>
      <c r="L100" s="212"/>
      <c r="M100" s="217"/>
    </row>
    <row r="101" spans="1:13" x14ac:dyDescent="0.25">
      <c r="A101" s="217"/>
      <c r="B101" s="217"/>
      <c r="C101" s="208"/>
      <c r="D101" s="209"/>
      <c r="E101" s="210"/>
      <c r="F101" s="210"/>
      <c r="G101" s="208"/>
      <c r="H101" s="208"/>
      <c r="I101" s="210"/>
      <c r="J101" s="210"/>
      <c r="K101" s="210"/>
      <c r="L101" s="212"/>
      <c r="M101" s="217"/>
    </row>
    <row r="102" spans="1:13" x14ac:dyDescent="0.25">
      <c r="A102" s="217"/>
      <c r="B102" s="217"/>
      <c r="C102" s="208"/>
      <c r="D102" s="209"/>
      <c r="E102" s="210"/>
      <c r="F102" s="210"/>
      <c r="G102" s="208"/>
      <c r="H102" s="208"/>
      <c r="I102" s="210"/>
      <c r="J102" s="210"/>
      <c r="K102" s="210"/>
      <c r="L102" s="212"/>
      <c r="M102" s="217"/>
    </row>
    <row r="103" spans="1:13" x14ac:dyDescent="0.25">
      <c r="A103" s="217"/>
      <c r="B103" s="217"/>
      <c r="C103" s="208"/>
      <c r="D103" s="209"/>
      <c r="E103" s="210"/>
      <c r="F103" s="210"/>
      <c r="G103" s="208"/>
      <c r="H103" s="208"/>
      <c r="I103" s="210"/>
      <c r="J103" s="210"/>
      <c r="K103" s="210"/>
      <c r="L103" s="212"/>
      <c r="M103" s="217"/>
    </row>
    <row r="104" spans="1:13" x14ac:dyDescent="0.25">
      <c r="A104" s="217"/>
      <c r="B104" s="217"/>
      <c r="C104" s="208"/>
      <c r="D104" s="209"/>
      <c r="E104" s="210"/>
      <c r="F104" s="210"/>
      <c r="G104" s="208"/>
      <c r="H104" s="208"/>
      <c r="I104" s="210"/>
      <c r="J104" s="210"/>
      <c r="K104" s="210"/>
      <c r="L104" s="212"/>
      <c r="M104" s="217"/>
    </row>
    <row r="105" spans="1:13" x14ac:dyDescent="0.25">
      <c r="A105" s="217"/>
      <c r="B105" s="217"/>
      <c r="C105" s="208"/>
      <c r="D105" s="209"/>
      <c r="E105" s="210"/>
      <c r="F105" s="210"/>
      <c r="G105" s="208"/>
      <c r="H105" s="208"/>
      <c r="I105" s="210"/>
      <c r="J105" s="210"/>
      <c r="K105" s="210"/>
      <c r="L105" s="212"/>
      <c r="M105" s="217"/>
    </row>
    <row r="106" spans="1:13" x14ac:dyDescent="0.25">
      <c r="A106" s="217"/>
      <c r="B106" s="217"/>
      <c r="C106" s="208"/>
      <c r="D106" s="209"/>
      <c r="E106" s="210"/>
      <c r="F106" s="210"/>
      <c r="G106" s="208"/>
      <c r="H106" s="208"/>
      <c r="I106" s="210"/>
      <c r="J106" s="210"/>
      <c r="K106" s="210"/>
      <c r="L106" s="212"/>
      <c r="M106" s="217"/>
    </row>
    <row r="107" spans="1:13" x14ac:dyDescent="0.25">
      <c r="A107" s="217"/>
      <c r="B107" s="217"/>
      <c r="C107" s="208"/>
      <c r="D107" s="209"/>
      <c r="E107" s="210"/>
      <c r="F107" s="210"/>
      <c r="G107" s="208"/>
      <c r="H107" s="208"/>
      <c r="I107" s="210"/>
      <c r="J107" s="210"/>
      <c r="K107" s="210"/>
      <c r="L107" s="212"/>
      <c r="M107" s="217"/>
    </row>
    <row r="108" spans="1:13" x14ac:dyDescent="0.25">
      <c r="A108" s="217"/>
      <c r="B108" s="217"/>
      <c r="C108" s="208"/>
      <c r="D108" s="209"/>
      <c r="E108" s="210"/>
      <c r="F108" s="210"/>
      <c r="G108" s="208"/>
      <c r="H108" s="208"/>
      <c r="I108" s="210"/>
      <c r="J108" s="210"/>
      <c r="K108" s="210"/>
      <c r="L108" s="212"/>
      <c r="M108" s="217"/>
    </row>
    <row r="109" spans="1:13" x14ac:dyDescent="0.25">
      <c r="A109" s="217"/>
      <c r="B109" s="217"/>
      <c r="C109" s="208"/>
      <c r="D109" s="209"/>
      <c r="E109" s="210"/>
      <c r="F109" s="210"/>
      <c r="G109" s="208"/>
      <c r="H109" s="208"/>
      <c r="I109" s="210"/>
      <c r="J109" s="210"/>
      <c r="K109" s="210"/>
      <c r="L109" s="212"/>
      <c r="M109" s="217"/>
    </row>
    <row r="110" spans="1:13" x14ac:dyDescent="0.25">
      <c r="A110" s="217"/>
      <c r="B110" s="217"/>
      <c r="C110" s="208"/>
      <c r="D110" s="209"/>
      <c r="E110" s="210"/>
      <c r="F110" s="210"/>
      <c r="G110" s="208"/>
      <c r="H110" s="208"/>
      <c r="I110" s="210"/>
      <c r="J110" s="210"/>
      <c r="K110" s="210"/>
      <c r="L110" s="212"/>
      <c r="M110" s="217"/>
    </row>
    <row r="111" spans="1:13" x14ac:dyDescent="0.25">
      <c r="A111" s="217"/>
      <c r="B111" s="217"/>
      <c r="C111" s="208"/>
      <c r="D111" s="209"/>
      <c r="E111" s="210"/>
      <c r="F111" s="210"/>
      <c r="G111" s="208"/>
      <c r="H111" s="208"/>
      <c r="I111" s="210"/>
      <c r="J111" s="210"/>
      <c r="K111" s="210"/>
      <c r="L111" s="212"/>
      <c r="M111" s="217"/>
    </row>
    <row r="112" spans="1:13" x14ac:dyDescent="0.25">
      <c r="A112" s="217"/>
      <c r="B112" s="217"/>
      <c r="C112" s="208"/>
      <c r="D112" s="209"/>
      <c r="E112" s="210"/>
      <c r="F112" s="210"/>
      <c r="G112" s="208"/>
      <c r="H112" s="208"/>
      <c r="I112" s="210"/>
      <c r="J112" s="210"/>
      <c r="K112" s="210"/>
      <c r="L112" s="212"/>
      <c r="M112" s="217"/>
    </row>
    <row r="113" spans="1:13" x14ac:dyDescent="0.25">
      <c r="A113" s="217"/>
      <c r="B113" s="217"/>
      <c r="C113" s="208"/>
      <c r="D113" s="209"/>
      <c r="E113" s="210"/>
      <c r="F113" s="210"/>
      <c r="G113" s="208"/>
      <c r="H113" s="208"/>
      <c r="I113" s="210"/>
      <c r="J113" s="210"/>
      <c r="K113" s="210"/>
      <c r="L113" s="212"/>
      <c r="M113" s="217"/>
    </row>
    <row r="114" spans="1:13" x14ac:dyDescent="0.25">
      <c r="A114" s="217"/>
      <c r="B114" s="217"/>
      <c r="C114" s="208"/>
      <c r="D114" s="209"/>
      <c r="E114" s="210"/>
      <c r="F114" s="210"/>
      <c r="G114" s="208"/>
      <c r="H114" s="208"/>
      <c r="I114" s="210"/>
      <c r="J114" s="210"/>
      <c r="K114" s="210"/>
      <c r="L114" s="212"/>
      <c r="M114" s="217"/>
    </row>
    <row r="115" spans="1:13" x14ac:dyDescent="0.25">
      <c r="A115" s="217"/>
      <c r="B115" s="217"/>
      <c r="C115" s="208"/>
      <c r="D115" s="209"/>
      <c r="E115" s="210"/>
      <c r="F115" s="210"/>
      <c r="G115" s="208"/>
      <c r="H115" s="208"/>
      <c r="I115" s="210"/>
      <c r="J115" s="210"/>
      <c r="K115" s="210"/>
      <c r="L115" s="212"/>
      <c r="M115" s="217"/>
    </row>
    <row r="116" spans="1:13" x14ac:dyDescent="0.25">
      <c r="A116" s="218"/>
      <c r="B116" s="218"/>
      <c r="C116" s="219"/>
      <c r="D116" s="220"/>
      <c r="E116" s="221"/>
      <c r="F116" s="221"/>
      <c r="G116" s="219"/>
      <c r="H116" s="219"/>
      <c r="I116" s="221"/>
      <c r="J116" s="221"/>
      <c r="K116" s="221"/>
      <c r="L116" s="222"/>
      <c r="M116" s="218"/>
    </row>
  </sheetData>
  <autoFilter ref="A1:M137"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17</vt:i4>
      </vt:variant>
      <vt:variant>
        <vt:lpstr>Benannte Bereiche</vt:lpstr>
      </vt:variant>
      <vt:variant>
        <vt:i4>2</vt:i4>
      </vt:variant>
    </vt:vector>
  </HeadingPairs>
  <TitlesOfParts>
    <vt:vector size="19" baseType="lpstr">
      <vt:lpstr>Change Log</vt:lpstr>
      <vt:lpstr>VNS1</vt:lpstr>
      <vt:lpstr>OM Table</vt:lpstr>
      <vt:lpstr>OMTable definitions</vt:lpstr>
      <vt:lpstr>CVT</vt:lpstr>
      <vt:lpstr>CVT+MW</vt:lpstr>
      <vt:lpstr>AS</vt:lpstr>
      <vt:lpstr>AS+MW</vt:lpstr>
      <vt:lpstr>FS</vt:lpstr>
      <vt:lpstr>FS_FWS</vt:lpstr>
      <vt:lpstr>CVT_LE</vt:lpstr>
      <vt:lpstr>PS</vt:lpstr>
      <vt:lpstr>SettingsMenu</vt:lpstr>
      <vt:lpstr>DBus Nodes</vt:lpstr>
      <vt:lpstr>UITypes</vt:lpstr>
      <vt:lpstr>To be clarified</vt:lpstr>
      <vt:lpstr>DBus Messages</vt:lpstr>
      <vt:lpstr>OvenType</vt:lpstr>
      <vt:lpstr>UIType</vt:lpstr>
    </vt:vector>
  </TitlesOfParts>
  <Company>BSH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Ulmer, Michael (GED-SHU1)</dc:creator>
  <cp:lastModifiedBy>Rom, Florian (PED-DERS)</cp:lastModifiedBy>
  <dcterms:created xsi:type="dcterms:W3CDTF">2019-02-14T09:21:18Z</dcterms:created>
  <dcterms:modified xsi:type="dcterms:W3CDTF">2020-02-27T09:37:38Z</dcterms:modified>
</cp:coreProperties>
</file>